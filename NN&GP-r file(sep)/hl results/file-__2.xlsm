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mputer Emergency\Desktop\scourpaper\Complex-Bridge-Pier-Scour-Calculator-1.0\NN&amp;GP-r file(sep)\hl results\"/>
    </mc:Choice>
  </mc:AlternateContent>
  <bookViews>
    <workbookView xWindow="0" yWindow="0" windowWidth="19200" windowHeight="7620" activeTab="1"/>
  </bookViews>
  <sheets>
    <sheet name="case2" sheetId="1" r:id="rId1"/>
    <sheet name="case3" sheetId="2" r:id="rId2"/>
    <sheet name="case4" sheetId="3" r:id="rId3"/>
    <sheet name="case5" sheetId="4" r:id="rId4"/>
  </sheets>
  <functionGroups builtInGroupCount="18"/>
  <definedNames>
    <definedName name="solver_adj" localSheetId="1" hidden="1">case3!$M$8:$N$20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case3!$K$3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2" l="1"/>
  <c r="I8" i="2"/>
  <c r="I10" i="2"/>
  <c r="I12" i="2"/>
  <c r="I14" i="2"/>
  <c r="I16" i="2"/>
  <c r="I18" i="2"/>
  <c r="I20" i="2"/>
  <c r="I22" i="2"/>
  <c r="I24" i="2"/>
  <c r="I26" i="2"/>
  <c r="I28" i="2"/>
  <c r="I30" i="2"/>
  <c r="I32" i="2"/>
  <c r="I34" i="2"/>
  <c r="I36" i="2"/>
  <c r="I38" i="2"/>
  <c r="I40" i="2"/>
  <c r="I42" i="2"/>
  <c r="I44" i="2"/>
  <c r="I46" i="2"/>
  <c r="I48" i="2"/>
  <c r="I50" i="2"/>
  <c r="I52" i="2"/>
  <c r="I54" i="2"/>
  <c r="I56" i="2"/>
  <c r="I58" i="2"/>
  <c r="I60" i="2"/>
  <c r="I62" i="2"/>
  <c r="I64" i="2"/>
  <c r="I66" i="2"/>
  <c r="I68" i="2"/>
  <c r="I70" i="2"/>
  <c r="I72" i="2"/>
  <c r="I74" i="2"/>
  <c r="I76" i="2"/>
  <c r="I78" i="2"/>
  <c r="I80" i="2"/>
  <c r="I82" i="2"/>
  <c r="I84" i="2"/>
  <c r="I86" i="2"/>
  <c r="I88" i="2"/>
  <c r="I90" i="2"/>
  <c r="I92" i="2"/>
  <c r="I94" i="2"/>
  <c r="I96" i="2"/>
  <c r="I98" i="2"/>
  <c r="I100" i="2"/>
  <c r="I102" i="2"/>
  <c r="I104" i="2"/>
  <c r="I5" i="2"/>
  <c r="I7" i="2"/>
  <c r="I9" i="2"/>
  <c r="I11" i="2"/>
  <c r="I13" i="2"/>
  <c r="I15" i="2"/>
  <c r="I17" i="2"/>
  <c r="I19" i="2"/>
  <c r="I21" i="2"/>
  <c r="I23" i="2"/>
  <c r="I25" i="2"/>
  <c r="I27" i="2"/>
  <c r="I29" i="2"/>
  <c r="I31" i="2"/>
  <c r="I33" i="2"/>
  <c r="I35" i="2"/>
  <c r="I37" i="2"/>
  <c r="I39" i="2"/>
  <c r="I41" i="2"/>
  <c r="I43" i="2"/>
  <c r="I45" i="2"/>
  <c r="I47" i="2"/>
  <c r="I49" i="2"/>
  <c r="I51" i="2"/>
  <c r="I53" i="2"/>
  <c r="I55" i="2"/>
  <c r="I57" i="2"/>
  <c r="I59" i="2"/>
  <c r="I61" i="2"/>
  <c r="I63" i="2"/>
  <c r="I65" i="2"/>
  <c r="I67" i="2"/>
  <c r="I69" i="2"/>
  <c r="I71" i="2"/>
  <c r="I73" i="2"/>
  <c r="I75" i="2"/>
  <c r="I77" i="2"/>
  <c r="I79" i="2"/>
  <c r="I81" i="2"/>
  <c r="I83" i="2"/>
  <c r="I85" i="2"/>
  <c r="I87" i="2"/>
  <c r="I89" i="2"/>
  <c r="I91" i="2"/>
  <c r="I93" i="2"/>
  <c r="I95" i="2"/>
  <c r="I97" i="2"/>
  <c r="I99" i="2"/>
  <c r="I101" i="2"/>
  <c r="I103" i="2"/>
  <c r="I105" i="2"/>
  <c r="I6" i="4"/>
  <c r="I8" i="4"/>
  <c r="I10" i="4"/>
  <c r="I12" i="4"/>
  <c r="I14" i="4"/>
  <c r="I16" i="4"/>
  <c r="I18" i="4"/>
  <c r="I20" i="4"/>
  <c r="I22" i="4"/>
  <c r="I24" i="4"/>
  <c r="I26" i="4"/>
  <c r="I28" i="4"/>
  <c r="I30" i="4"/>
  <c r="I32" i="4"/>
  <c r="I34" i="4"/>
  <c r="I36" i="4"/>
  <c r="I38" i="4"/>
  <c r="I40" i="4"/>
  <c r="I42" i="4"/>
  <c r="I44" i="4"/>
  <c r="I46" i="4"/>
  <c r="I48" i="4"/>
  <c r="I50" i="4"/>
  <c r="I52" i="4"/>
  <c r="I54" i="4"/>
  <c r="I56" i="4"/>
  <c r="I58" i="4"/>
  <c r="I60" i="4"/>
  <c r="I62" i="4"/>
  <c r="I64" i="4"/>
  <c r="I66" i="4"/>
  <c r="I68" i="4"/>
  <c r="I70" i="4"/>
  <c r="I72" i="4"/>
  <c r="I74" i="4"/>
  <c r="I76" i="4"/>
  <c r="I5" i="4"/>
  <c r="I7" i="4"/>
  <c r="I9" i="4"/>
  <c r="I11" i="4"/>
  <c r="I13" i="4"/>
  <c r="I15" i="4"/>
  <c r="I17" i="4"/>
  <c r="I19" i="4"/>
  <c r="I21" i="4"/>
  <c r="I23" i="4"/>
  <c r="I25" i="4"/>
  <c r="I27" i="4"/>
  <c r="I29" i="4"/>
  <c r="I31" i="4"/>
  <c r="I33" i="4"/>
  <c r="I35" i="4"/>
  <c r="I37" i="4"/>
  <c r="I39" i="4"/>
  <c r="I41" i="4"/>
  <c r="I43" i="4"/>
  <c r="I45" i="4"/>
  <c r="I47" i="4"/>
  <c r="I49" i="4"/>
  <c r="I51" i="4"/>
  <c r="I53" i="4"/>
  <c r="I55" i="4"/>
  <c r="I57" i="4"/>
  <c r="I59" i="4"/>
  <c r="I61" i="4"/>
  <c r="I63" i="4"/>
  <c r="I65" i="4"/>
  <c r="I67" i="4"/>
  <c r="I69" i="4"/>
  <c r="I71" i="4"/>
  <c r="I73" i="4"/>
  <c r="I75" i="4"/>
  <c r="I77" i="4"/>
  <c r="I3" i="3"/>
  <c r="I5" i="3"/>
  <c r="I7" i="3"/>
  <c r="I9" i="3"/>
  <c r="I11" i="3"/>
  <c r="I13" i="3"/>
  <c r="I15" i="3"/>
  <c r="I17" i="3"/>
  <c r="I19" i="3"/>
  <c r="I21" i="3"/>
  <c r="I23" i="3"/>
  <c r="I25" i="3"/>
  <c r="I27" i="3"/>
  <c r="I29" i="3"/>
  <c r="I31" i="3"/>
  <c r="I33" i="3"/>
  <c r="I35" i="3"/>
  <c r="I37" i="3"/>
  <c r="I39" i="3"/>
  <c r="I41" i="3"/>
  <c r="I43" i="3"/>
  <c r="I45" i="3"/>
  <c r="I47" i="3"/>
  <c r="I49" i="3"/>
  <c r="I51" i="3"/>
  <c r="I53" i="3"/>
  <c r="I55" i="3"/>
  <c r="I57" i="3"/>
  <c r="I59" i="3"/>
  <c r="I61" i="3"/>
  <c r="I63" i="3"/>
  <c r="I65" i="3"/>
  <c r="I67" i="3"/>
  <c r="I69" i="3"/>
  <c r="I71" i="3"/>
  <c r="I73" i="3"/>
  <c r="I75" i="3"/>
  <c r="I77" i="3"/>
  <c r="I79" i="3"/>
  <c r="I81" i="3"/>
  <c r="I83" i="3"/>
  <c r="I85" i="3"/>
  <c r="I87" i="3"/>
  <c r="I89" i="3"/>
  <c r="I91" i="3"/>
  <c r="I93" i="3"/>
  <c r="I95" i="3"/>
  <c r="I97" i="3"/>
  <c r="I99" i="3"/>
  <c r="I101" i="3"/>
  <c r="I103" i="3"/>
  <c r="I105" i="3"/>
  <c r="I107" i="3"/>
  <c r="I109" i="3"/>
  <c r="I111" i="3"/>
  <c r="I113" i="3"/>
  <c r="I115" i="3"/>
  <c r="I117" i="3"/>
  <c r="I119" i="3"/>
  <c r="I121" i="3"/>
  <c r="I123" i="3"/>
  <c r="I125" i="3"/>
  <c r="I127" i="3"/>
  <c r="I129" i="3"/>
  <c r="I131" i="3"/>
  <c r="I4" i="3"/>
  <c r="I6" i="3"/>
  <c r="I8" i="3"/>
  <c r="I10" i="3"/>
  <c r="I12" i="3"/>
  <c r="I14" i="3"/>
  <c r="I16" i="3"/>
  <c r="I18" i="3"/>
  <c r="I20" i="3"/>
  <c r="I22" i="3"/>
  <c r="I24" i="3"/>
  <c r="I26" i="3"/>
  <c r="I28" i="3"/>
  <c r="I30" i="3"/>
  <c r="I32" i="3"/>
  <c r="I34" i="3"/>
  <c r="I36" i="3"/>
  <c r="I38" i="3"/>
  <c r="I40" i="3"/>
  <c r="I42" i="3"/>
  <c r="I44" i="3"/>
  <c r="I46" i="3"/>
  <c r="I48" i="3"/>
  <c r="I50" i="3"/>
  <c r="I52" i="3"/>
  <c r="I54" i="3"/>
  <c r="I56" i="3"/>
  <c r="I58" i="3"/>
  <c r="I60" i="3"/>
  <c r="I62" i="3"/>
  <c r="I64" i="3"/>
  <c r="I66" i="3"/>
  <c r="I68" i="3"/>
  <c r="I70" i="3"/>
  <c r="I72" i="3"/>
  <c r="I74" i="3"/>
  <c r="I76" i="3"/>
  <c r="I78" i="3"/>
  <c r="I80" i="3"/>
  <c r="I82" i="3"/>
  <c r="I84" i="3"/>
  <c r="I86" i="3"/>
  <c r="I88" i="3"/>
  <c r="I90" i="3"/>
  <c r="I92" i="3"/>
  <c r="I94" i="3"/>
  <c r="I96" i="3"/>
  <c r="I98" i="3"/>
  <c r="I100" i="3"/>
  <c r="I102" i="3"/>
  <c r="I104" i="3"/>
  <c r="I106" i="3"/>
  <c r="I108" i="3"/>
  <c r="I110" i="3"/>
  <c r="I112" i="3"/>
  <c r="I114" i="3"/>
  <c r="I116" i="3"/>
  <c r="I118" i="3"/>
  <c r="I120" i="3"/>
  <c r="I122" i="3"/>
  <c r="I124" i="3"/>
  <c r="I126" i="3"/>
  <c r="I128" i="3"/>
  <c r="I130" i="3"/>
  <c r="I132" i="3"/>
  <c r="I5" i="1"/>
  <c r="I7" i="1"/>
  <c r="I9" i="1"/>
  <c r="I11" i="1"/>
  <c r="I13" i="1"/>
  <c r="I15" i="1"/>
  <c r="I17" i="1"/>
  <c r="I19" i="1"/>
  <c r="I21" i="1"/>
  <c r="I23" i="1"/>
  <c r="I25" i="1"/>
  <c r="I27" i="1"/>
  <c r="I29" i="1"/>
  <c r="I31" i="1"/>
  <c r="I33" i="1"/>
  <c r="I35" i="1"/>
  <c r="I37" i="1"/>
  <c r="I39" i="1"/>
  <c r="I41" i="1"/>
  <c r="I43" i="1"/>
  <c r="I45" i="1"/>
  <c r="I6" i="1"/>
  <c r="I8" i="1"/>
  <c r="I10" i="1"/>
  <c r="I12" i="1"/>
  <c r="I14" i="1"/>
  <c r="I16" i="1"/>
  <c r="I18" i="1"/>
  <c r="I20" i="1"/>
  <c r="I22" i="1"/>
  <c r="I24" i="1"/>
  <c r="I26" i="1"/>
  <c r="I28" i="1"/>
  <c r="I30" i="1"/>
  <c r="I32" i="1"/>
  <c r="I34" i="1"/>
  <c r="I36" i="1"/>
  <c r="I38" i="1"/>
  <c r="I40" i="1"/>
  <c r="I42" i="1"/>
  <c r="I44" i="1"/>
  <c r="I4" i="4"/>
  <c r="I2" i="3"/>
  <c r="I4" i="2"/>
  <c r="I4" i="1"/>
  <c r="J105" i="2" l="1"/>
  <c r="J103" i="2"/>
  <c r="J101" i="2"/>
  <c r="J99" i="2"/>
  <c r="J97" i="2"/>
  <c r="J95" i="2"/>
  <c r="J93" i="2"/>
  <c r="J91" i="2"/>
  <c r="J89" i="2"/>
  <c r="J87" i="2"/>
  <c r="J85" i="2"/>
  <c r="J83" i="2"/>
  <c r="J81" i="2"/>
  <c r="J79" i="2"/>
  <c r="J77" i="2"/>
  <c r="J75" i="2"/>
  <c r="J73" i="2"/>
  <c r="J71" i="2"/>
  <c r="J69" i="2"/>
  <c r="J67" i="2"/>
  <c r="J65" i="2"/>
  <c r="J63" i="2"/>
  <c r="J61" i="2"/>
  <c r="J59" i="2"/>
  <c r="J57" i="2"/>
  <c r="J55" i="2"/>
  <c r="J53" i="2"/>
  <c r="J51" i="2"/>
  <c r="J49" i="2"/>
  <c r="J47" i="2"/>
  <c r="J45" i="2"/>
  <c r="J43" i="2"/>
  <c r="J41" i="2"/>
  <c r="J39" i="2"/>
  <c r="J37" i="2"/>
  <c r="J35" i="2"/>
  <c r="J33" i="2"/>
  <c r="J31" i="2"/>
  <c r="J29" i="2"/>
  <c r="J27" i="2"/>
  <c r="J25" i="2"/>
  <c r="J23" i="2"/>
  <c r="J21" i="2"/>
  <c r="J19" i="2"/>
  <c r="J17" i="2"/>
  <c r="J15" i="2"/>
  <c r="J13" i="2"/>
  <c r="J11" i="2"/>
  <c r="J9" i="2"/>
  <c r="J7" i="2"/>
  <c r="J5" i="2"/>
  <c r="J104" i="2"/>
  <c r="J102" i="2"/>
  <c r="J100" i="2"/>
  <c r="J98" i="2"/>
  <c r="J96" i="2"/>
  <c r="J94" i="2"/>
  <c r="J92" i="2"/>
  <c r="J90" i="2"/>
  <c r="J88" i="2"/>
  <c r="J86" i="2"/>
  <c r="J84" i="2"/>
  <c r="J82" i="2"/>
  <c r="J80" i="2"/>
  <c r="J78" i="2"/>
  <c r="J76" i="2"/>
  <c r="J74" i="2"/>
  <c r="J72" i="2"/>
  <c r="J70" i="2"/>
  <c r="J68" i="2"/>
  <c r="J66" i="2"/>
  <c r="J64" i="2"/>
  <c r="J62" i="2"/>
  <c r="J60" i="2"/>
  <c r="J58" i="2"/>
  <c r="J56" i="2"/>
  <c r="J54" i="2"/>
  <c r="J52" i="2"/>
  <c r="J50" i="2"/>
  <c r="J48" i="2"/>
  <c r="J46" i="2"/>
  <c r="J44" i="2"/>
  <c r="J42" i="2"/>
  <c r="J40" i="2"/>
  <c r="J38" i="2"/>
  <c r="J36" i="2"/>
  <c r="J34" i="2"/>
  <c r="J32" i="2"/>
  <c r="J30" i="2"/>
  <c r="J28" i="2"/>
  <c r="J26" i="2"/>
  <c r="J24" i="2"/>
  <c r="J22" i="2"/>
  <c r="J20" i="2"/>
  <c r="J18" i="2"/>
  <c r="J16" i="2"/>
  <c r="J14" i="2"/>
  <c r="J12" i="2"/>
  <c r="J10" i="2"/>
  <c r="J8" i="2"/>
  <c r="J6" i="2"/>
  <c r="J77" i="4"/>
  <c r="J75" i="4"/>
  <c r="J73" i="4"/>
  <c r="J71" i="4"/>
  <c r="J69" i="4"/>
  <c r="J67" i="4"/>
  <c r="J65" i="4"/>
  <c r="J63" i="4"/>
  <c r="J61" i="4"/>
  <c r="J59" i="4"/>
  <c r="J57" i="4"/>
  <c r="J55" i="4"/>
  <c r="J53" i="4"/>
  <c r="J51" i="4"/>
  <c r="J49" i="4"/>
  <c r="J47" i="4"/>
  <c r="J45" i="4"/>
  <c r="J43" i="4"/>
  <c r="J41" i="4"/>
  <c r="J39" i="4"/>
  <c r="J37" i="4"/>
  <c r="J35" i="4"/>
  <c r="J33" i="4"/>
  <c r="J31" i="4"/>
  <c r="J29" i="4"/>
  <c r="J27" i="4"/>
  <c r="J25" i="4"/>
  <c r="J23" i="4"/>
  <c r="J21" i="4"/>
  <c r="J19" i="4"/>
  <c r="J17" i="4"/>
  <c r="J15" i="4"/>
  <c r="J13" i="4"/>
  <c r="J11" i="4"/>
  <c r="J9" i="4"/>
  <c r="J7" i="4"/>
  <c r="J5" i="4"/>
  <c r="J76" i="4"/>
  <c r="J74" i="4"/>
  <c r="J72" i="4"/>
  <c r="J70" i="4"/>
  <c r="J68" i="4"/>
  <c r="J66" i="4"/>
  <c r="J64" i="4"/>
  <c r="J62" i="4"/>
  <c r="J60" i="4"/>
  <c r="J58" i="4"/>
  <c r="J56" i="4"/>
  <c r="J54" i="4"/>
  <c r="J52" i="4"/>
  <c r="J50" i="4"/>
  <c r="J48" i="4"/>
  <c r="J46" i="4"/>
  <c r="J44" i="4"/>
  <c r="J42" i="4"/>
  <c r="J40" i="4"/>
  <c r="J38" i="4"/>
  <c r="J36" i="4"/>
  <c r="J34" i="4"/>
  <c r="J32" i="4"/>
  <c r="J30" i="4"/>
  <c r="J28" i="4"/>
  <c r="J26" i="4"/>
  <c r="J24" i="4"/>
  <c r="J22" i="4"/>
  <c r="J20" i="4"/>
  <c r="J18" i="4"/>
  <c r="J16" i="4"/>
  <c r="J14" i="4"/>
  <c r="J12" i="4"/>
  <c r="J10" i="4"/>
  <c r="J8" i="4"/>
  <c r="J6" i="4"/>
  <c r="J131" i="3"/>
  <c r="J129" i="3"/>
  <c r="J127" i="3"/>
  <c r="J125" i="3"/>
  <c r="J123" i="3"/>
  <c r="J121" i="3"/>
  <c r="J119" i="3"/>
  <c r="J117" i="3"/>
  <c r="J115" i="3"/>
  <c r="J113" i="3"/>
  <c r="J111" i="3"/>
  <c r="J109" i="3"/>
  <c r="J107" i="3"/>
  <c r="J105" i="3"/>
  <c r="J103" i="3"/>
  <c r="J101" i="3"/>
  <c r="J99" i="3"/>
  <c r="J97" i="3"/>
  <c r="J95" i="3"/>
  <c r="J93" i="3"/>
  <c r="J91" i="3"/>
  <c r="J89" i="3"/>
  <c r="J86" i="3"/>
  <c r="J82" i="3"/>
  <c r="J78" i="3"/>
  <c r="J74" i="3"/>
  <c r="J70" i="3"/>
  <c r="J66" i="3"/>
  <c r="J62" i="3"/>
  <c r="J58" i="3"/>
  <c r="J54" i="3"/>
  <c r="J50" i="3"/>
  <c r="J46" i="3"/>
  <c r="J42" i="3"/>
  <c r="J38" i="3"/>
  <c r="J132" i="3"/>
  <c r="J130" i="3"/>
  <c r="J128" i="3"/>
  <c r="J126" i="3"/>
  <c r="J124" i="3"/>
  <c r="J122" i="3"/>
  <c r="J120" i="3"/>
  <c r="J118" i="3"/>
  <c r="J116" i="3"/>
  <c r="J114" i="3"/>
  <c r="J112" i="3"/>
  <c r="J110" i="3"/>
  <c r="J108" i="3"/>
  <c r="J106" i="3"/>
  <c r="J104" i="3"/>
  <c r="J102" i="3"/>
  <c r="J100" i="3"/>
  <c r="J98" i="3"/>
  <c r="J96" i="3"/>
  <c r="J94" i="3"/>
  <c r="J92" i="3"/>
  <c r="J90" i="3"/>
  <c r="J88" i="3"/>
  <c r="J84" i="3"/>
  <c r="J80" i="3"/>
  <c r="J76" i="3"/>
  <c r="J72" i="3"/>
  <c r="J68" i="3"/>
  <c r="J64" i="3"/>
  <c r="J60" i="3"/>
  <c r="J56" i="3"/>
  <c r="J52" i="3"/>
  <c r="J48" i="3"/>
  <c r="J44" i="3"/>
  <c r="J40" i="3"/>
  <c r="J36" i="3"/>
  <c r="J34" i="3"/>
  <c r="J32" i="3"/>
  <c r="J30" i="3"/>
  <c r="J28" i="3"/>
  <c r="J26" i="3"/>
  <c r="J24" i="3"/>
  <c r="J22" i="3"/>
  <c r="J20" i="3"/>
  <c r="J18" i="3"/>
  <c r="J16" i="3"/>
  <c r="J14" i="3"/>
  <c r="J12" i="3"/>
  <c r="J10" i="3"/>
  <c r="J8" i="3"/>
  <c r="J6" i="3"/>
  <c r="J4" i="3"/>
  <c r="J87" i="3"/>
  <c r="J85" i="3"/>
  <c r="J83" i="3"/>
  <c r="J81" i="3"/>
  <c r="J79" i="3"/>
  <c r="J77" i="3"/>
  <c r="J75" i="3"/>
  <c r="J73" i="3"/>
  <c r="J71" i="3"/>
  <c r="J69" i="3"/>
  <c r="J67" i="3"/>
  <c r="J65" i="3"/>
  <c r="J63" i="3"/>
  <c r="J61" i="3"/>
  <c r="J59" i="3"/>
  <c r="J57" i="3"/>
  <c r="J55" i="3"/>
  <c r="J53" i="3"/>
  <c r="J51" i="3"/>
  <c r="J49" i="3"/>
  <c r="J47" i="3"/>
  <c r="J45" i="3"/>
  <c r="J43" i="3"/>
  <c r="J41" i="3"/>
  <c r="J39" i="3"/>
  <c r="J37" i="3"/>
  <c r="J35" i="3"/>
  <c r="J33" i="3"/>
  <c r="J31" i="3"/>
  <c r="J29" i="3"/>
  <c r="J27" i="3"/>
  <c r="J25" i="3"/>
  <c r="J23" i="3"/>
  <c r="J21" i="3"/>
  <c r="J19" i="3"/>
  <c r="J17" i="3"/>
  <c r="J15" i="3"/>
  <c r="J13" i="3"/>
  <c r="J11" i="3"/>
  <c r="J9" i="3"/>
  <c r="J7" i="3"/>
  <c r="J5" i="3"/>
  <c r="J3" i="3"/>
  <c r="J4" i="4"/>
  <c r="J4" i="2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2" i="3"/>
  <c r="J4" i="1"/>
  <c r="K2" i="1" l="1"/>
  <c r="K4" i="4"/>
  <c r="K2" i="3"/>
  <c r="K64" i="4"/>
  <c r="L4" i="4" s="1"/>
  <c r="K108" i="3"/>
  <c r="L2" i="3" s="1"/>
  <c r="K3" i="2"/>
  <c r="K86" i="2"/>
  <c r="L3" i="2" s="1"/>
  <c r="K37" i="1"/>
  <c r="L2" i="1" s="1"/>
</calcChain>
</file>

<file path=xl/sharedStrings.xml><?xml version="1.0" encoding="utf-8"?>
<sst xmlns="http://schemas.openxmlformats.org/spreadsheetml/2006/main" count="77" uniqueCount="20">
  <si>
    <t>population 1800</t>
  </si>
  <si>
    <t>generation 200</t>
  </si>
  <si>
    <t>x1</t>
  </si>
  <si>
    <t>x2</t>
  </si>
  <si>
    <t>x3</t>
  </si>
  <si>
    <t>x4</t>
  </si>
  <si>
    <t>x5</t>
  </si>
  <si>
    <t>x6</t>
  </si>
  <si>
    <t>x7</t>
  </si>
  <si>
    <t>z</t>
  </si>
  <si>
    <t>z pred</t>
  </si>
  <si>
    <t>err</t>
  </si>
  <si>
    <t>depth</t>
  </si>
  <si>
    <t>length</t>
  </si>
  <si>
    <t>complexity</t>
  </si>
  <si>
    <t>rmse train</t>
  </si>
  <si>
    <t>rmse test</t>
  </si>
  <si>
    <t>lenth</t>
  </si>
  <si>
    <t>train rmse</t>
  </si>
  <si>
    <t>test rmse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</si>
</sst>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5"/>
  <sheetViews>
    <sheetView workbookViewId="0">
      <selection activeCell="N4" sqref="N4:R4"/>
    </sheetView>
  </sheetViews>
  <sheetFormatPr defaultRowHeight="14.4" x14ac:dyDescent="0.3"/>
  <sheetData>
    <row r="1" spans="1:18" x14ac:dyDescent="0.3">
      <c r="K1" s="2"/>
      <c r="L1" s="2"/>
      <c r="N1" t="s">
        <v>0</v>
      </c>
    </row>
    <row r="2" spans="1:18" x14ac:dyDescent="0.3">
      <c r="K2" s="2">
        <f>SQRT(SUMSQ(J4:J36)/COUNT(J4:J36))</f>
        <v>6.0429053760148656E-2</v>
      </c>
      <c r="L2" s="2">
        <f>K37</f>
        <v>4.8025312349720489E-2</v>
      </c>
      <c r="N2" t="s">
        <v>1</v>
      </c>
    </row>
    <row r="3" spans="1:18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N3" t="s">
        <v>12</v>
      </c>
      <c r="O3" t="s">
        <v>13</v>
      </c>
      <c r="P3" t="s">
        <v>14</v>
      </c>
      <c r="Q3" t="s">
        <v>15</v>
      </c>
      <c r="R3" t="s">
        <v>16</v>
      </c>
    </row>
    <row r="4" spans="1:18" x14ac:dyDescent="0.3">
      <c r="A4">
        <v>0.319090064269206</v>
      </c>
      <c r="B4">
        <v>0</v>
      </c>
      <c r="C4">
        <v>0.82650184040558405</v>
      </c>
      <c r="D4">
        <v>1</v>
      </c>
      <c r="E4">
        <v>0.173498159594416</v>
      </c>
      <c r="F4">
        <v>0.62504340579206896</v>
      </c>
      <c r="G4">
        <v>0</v>
      </c>
      <c r="H4">
        <v>0.75405657914857604</v>
      </c>
      <c r="I4" s="1">
        <f>case2_(A4,B4,C4,D4,E4,F4,G4)</f>
        <v>0.74081950819642972</v>
      </c>
      <c r="J4" s="1">
        <f>I4-H4</f>
        <v>-1.3237070952146324E-2</v>
      </c>
      <c r="N4" s="3"/>
      <c r="O4" s="3"/>
      <c r="Q4" s="2"/>
      <c r="R4" s="2"/>
    </row>
    <row r="5" spans="1:18" x14ac:dyDescent="0.3">
      <c r="A5">
        <v>0.319090064269206</v>
      </c>
      <c r="B5">
        <v>0</v>
      </c>
      <c r="C5">
        <v>0.901387226251672</v>
      </c>
      <c r="D5">
        <v>1</v>
      </c>
      <c r="E5">
        <v>9.8612773748327706E-2</v>
      </c>
      <c r="F5">
        <v>0.63375818604323597</v>
      </c>
      <c r="G5">
        <v>0</v>
      </c>
      <c r="H5">
        <v>0.85582920309320698</v>
      </c>
      <c r="I5" s="1">
        <f t="shared" ref="I5:I45" si="0">case2_(A5,B5,C5,D5,E5,F5,G5)</f>
        <v>0.74290374784522795</v>
      </c>
      <c r="J5" s="1">
        <f t="shared" ref="J5:J45" si="1">I5-H5</f>
        <v>-0.11292545524797903</v>
      </c>
      <c r="N5" s="3">
        <v>9</v>
      </c>
      <c r="O5" s="3">
        <v>70</v>
      </c>
      <c r="Q5" s="2">
        <v>5.0218467551100238E-2</v>
      </c>
      <c r="R5" s="2">
        <v>5.1325037799852223E-2</v>
      </c>
    </row>
    <row r="6" spans="1:18" x14ac:dyDescent="0.3">
      <c r="A6">
        <v>0.319090064269206</v>
      </c>
      <c r="B6">
        <v>0</v>
      </c>
      <c r="C6">
        <v>0.88669031174164603</v>
      </c>
      <c r="D6">
        <v>1</v>
      </c>
      <c r="E6">
        <v>0.113309688258354</v>
      </c>
      <c r="F6">
        <v>0.60001600042667802</v>
      </c>
      <c r="G6">
        <v>0</v>
      </c>
      <c r="H6">
        <v>0.79189448301505305</v>
      </c>
      <c r="I6" s="1">
        <f t="shared" si="0"/>
        <v>0.73421589292349365</v>
      </c>
      <c r="J6" s="1">
        <f t="shared" si="1"/>
        <v>-5.7678590091559401E-2</v>
      </c>
      <c r="N6">
        <v>7</v>
      </c>
      <c r="O6">
        <v>25</v>
      </c>
      <c r="Q6" s="2">
        <v>0.06</v>
      </c>
      <c r="R6" s="2">
        <v>0.05</v>
      </c>
    </row>
    <row r="7" spans="1:18" x14ac:dyDescent="0.3">
      <c r="A7">
        <v>0.319090064269206</v>
      </c>
      <c r="B7">
        <v>0</v>
      </c>
      <c r="C7">
        <v>0.85173236983031198</v>
      </c>
      <c r="D7">
        <v>1</v>
      </c>
      <c r="E7">
        <v>0.148267630169688</v>
      </c>
      <c r="F7">
        <v>0.58068262468546405</v>
      </c>
      <c r="G7">
        <v>0</v>
      </c>
      <c r="H7">
        <v>0.52360802090689496</v>
      </c>
      <c r="I7" s="1">
        <f t="shared" si="0"/>
        <v>0.72813123829667026</v>
      </c>
      <c r="J7" s="1">
        <f t="shared" si="1"/>
        <v>0.2045232173897753</v>
      </c>
    </row>
    <row r="8" spans="1:18" x14ac:dyDescent="0.3">
      <c r="A8">
        <v>0.30376590132493603</v>
      </c>
      <c r="B8">
        <v>0</v>
      </c>
      <c r="C8">
        <v>0.81349761971436596</v>
      </c>
      <c r="D8">
        <v>1</v>
      </c>
      <c r="E8">
        <v>0.18650238028563401</v>
      </c>
      <c r="F8">
        <v>0.60007200864103705</v>
      </c>
      <c r="G8">
        <v>0</v>
      </c>
      <c r="H8">
        <v>0.50692179902241297</v>
      </c>
      <c r="I8" s="1">
        <f t="shared" si="0"/>
        <v>0.6455960113381688</v>
      </c>
      <c r="J8" s="1">
        <f t="shared" si="1"/>
        <v>0.13867421231575583</v>
      </c>
    </row>
    <row r="9" spans="1:18" x14ac:dyDescent="0.3">
      <c r="A9">
        <v>0.30376590132493603</v>
      </c>
      <c r="B9">
        <v>0</v>
      </c>
      <c r="C9">
        <v>0.92855194982274303</v>
      </c>
      <c r="D9">
        <v>1</v>
      </c>
      <c r="E9">
        <v>7.14480501772565E-2</v>
      </c>
      <c r="F9">
        <v>0.58436246055553398</v>
      </c>
      <c r="G9">
        <v>0</v>
      </c>
      <c r="H9">
        <v>0.59645204124712603</v>
      </c>
      <c r="I9" s="1">
        <f t="shared" si="0"/>
        <v>0.64264334035757709</v>
      </c>
      <c r="J9" s="1">
        <f t="shared" si="1"/>
        <v>4.6191299110451056E-2</v>
      </c>
    </row>
    <row r="10" spans="1:18" x14ac:dyDescent="0.3">
      <c r="A10">
        <v>0.30376590132493603</v>
      </c>
      <c r="B10">
        <v>0</v>
      </c>
      <c r="C10">
        <v>0.986838420610473</v>
      </c>
      <c r="D10">
        <v>1</v>
      </c>
      <c r="E10">
        <v>1.3161579389526799E-2</v>
      </c>
      <c r="F10">
        <v>0.60007200864103705</v>
      </c>
      <c r="G10">
        <v>0</v>
      </c>
      <c r="H10">
        <v>0.65292363494052896</v>
      </c>
      <c r="I10" s="1">
        <f t="shared" si="0"/>
        <v>0.6455960113381688</v>
      </c>
      <c r="J10" s="1">
        <f t="shared" si="1"/>
        <v>-7.3276236023601671E-3</v>
      </c>
    </row>
    <row r="11" spans="1:18" x14ac:dyDescent="0.3">
      <c r="A11">
        <v>0.485065502686992</v>
      </c>
      <c r="B11">
        <v>0</v>
      </c>
      <c r="C11">
        <v>0.77464788732394396</v>
      </c>
      <c r="D11">
        <v>1</v>
      </c>
      <c r="E11">
        <v>0.22535211267605601</v>
      </c>
      <c r="F11">
        <v>0.63380281690140805</v>
      </c>
      <c r="G11">
        <v>0</v>
      </c>
      <c r="H11">
        <v>0.61965370725136804</v>
      </c>
      <c r="I11" s="1">
        <f t="shared" si="0"/>
        <v>0.63425066511850425</v>
      </c>
      <c r="J11" s="1">
        <f t="shared" si="1"/>
        <v>1.4596957867136218E-2</v>
      </c>
    </row>
    <row r="12" spans="1:18" x14ac:dyDescent="0.3">
      <c r="A12">
        <v>0.485065502686992</v>
      </c>
      <c r="B12">
        <v>0</v>
      </c>
      <c r="C12">
        <v>0.88732394366197198</v>
      </c>
      <c r="D12">
        <v>1</v>
      </c>
      <c r="E12">
        <v>0.11267605633802801</v>
      </c>
      <c r="F12">
        <v>0.63380281690140805</v>
      </c>
      <c r="G12">
        <v>0</v>
      </c>
      <c r="H12">
        <v>0.66236274167767895</v>
      </c>
      <c r="I12" s="1">
        <f t="shared" si="0"/>
        <v>0.63425066511850425</v>
      </c>
      <c r="J12" s="1">
        <f t="shared" si="1"/>
        <v>-2.8112076559174692E-2</v>
      </c>
    </row>
    <row r="13" spans="1:18" x14ac:dyDescent="0.3">
      <c r="A13">
        <v>0.33339095296243298</v>
      </c>
      <c r="B13">
        <v>0</v>
      </c>
      <c r="C13">
        <v>0.9</v>
      </c>
      <c r="D13">
        <v>1</v>
      </c>
      <c r="E13">
        <v>9.9999999999999895E-2</v>
      </c>
      <c r="F13">
        <v>0.6</v>
      </c>
      <c r="G13">
        <v>0</v>
      </c>
      <c r="H13">
        <v>0.62839963105832397</v>
      </c>
      <c r="I13" s="1">
        <f t="shared" si="0"/>
        <v>0.57633497361845953</v>
      </c>
      <c r="J13" s="1">
        <f t="shared" si="1"/>
        <v>-5.2064657439864437E-2</v>
      </c>
    </row>
    <row r="14" spans="1:18" x14ac:dyDescent="0.3">
      <c r="A14">
        <v>0.33339095296243298</v>
      </c>
      <c r="B14">
        <v>0</v>
      </c>
      <c r="C14">
        <v>0.897260273972603</v>
      </c>
      <c r="D14">
        <v>1</v>
      </c>
      <c r="E14">
        <v>0.102739726027397</v>
      </c>
      <c r="F14">
        <v>0.61643835616438403</v>
      </c>
      <c r="G14">
        <v>0</v>
      </c>
      <c r="H14">
        <v>0.53081907574647003</v>
      </c>
      <c r="I14" s="1">
        <f t="shared" si="0"/>
        <v>0.57625856847833679</v>
      </c>
      <c r="J14" s="1">
        <f t="shared" si="1"/>
        <v>4.543949273186676E-2</v>
      </c>
    </row>
    <row r="15" spans="1:18" x14ac:dyDescent="0.3">
      <c r="A15">
        <v>0.33943859102284801</v>
      </c>
      <c r="B15">
        <v>0</v>
      </c>
      <c r="C15">
        <v>0.83211678832116798</v>
      </c>
      <c r="D15">
        <v>1</v>
      </c>
      <c r="E15">
        <v>0.167883211678832</v>
      </c>
      <c r="F15">
        <v>0.65693430656934304</v>
      </c>
      <c r="G15">
        <v>0</v>
      </c>
      <c r="H15">
        <v>0.54847007497101696</v>
      </c>
      <c r="I15" s="1">
        <f t="shared" si="0"/>
        <v>0.61112908417840739</v>
      </c>
      <c r="J15" s="1">
        <f t="shared" si="1"/>
        <v>6.2659009207390426E-2</v>
      </c>
    </row>
    <row r="16" spans="1:18" x14ac:dyDescent="0.3">
      <c r="A16">
        <v>0.48302343172405598</v>
      </c>
      <c r="B16">
        <v>0</v>
      </c>
      <c r="C16">
        <v>0.89130434782608703</v>
      </c>
      <c r="D16">
        <v>1</v>
      </c>
      <c r="E16">
        <v>0.108695652173913</v>
      </c>
      <c r="F16">
        <v>0.65217391304347805</v>
      </c>
      <c r="G16">
        <v>0</v>
      </c>
      <c r="H16">
        <v>0.63960010822979296</v>
      </c>
      <c r="I16" s="1">
        <f t="shared" si="0"/>
        <v>0.64259943047421175</v>
      </c>
      <c r="J16" s="1">
        <f t="shared" si="1"/>
        <v>2.9993222444187895E-3</v>
      </c>
    </row>
    <row r="17" spans="1:10" x14ac:dyDescent="0.3">
      <c r="A17">
        <v>0.48302343172405598</v>
      </c>
      <c r="B17">
        <v>0</v>
      </c>
      <c r="C17">
        <v>0.811594202898551</v>
      </c>
      <c r="D17">
        <v>1</v>
      </c>
      <c r="E17">
        <v>0.188405797101449</v>
      </c>
      <c r="F17">
        <v>0.65217391304347805</v>
      </c>
      <c r="G17">
        <v>0</v>
      </c>
      <c r="H17">
        <v>0.576195068987708</v>
      </c>
      <c r="I17" s="1">
        <f t="shared" si="0"/>
        <v>0.64259943047421175</v>
      </c>
      <c r="J17" s="1">
        <f t="shared" si="1"/>
        <v>6.6404361486503749E-2</v>
      </c>
    </row>
    <row r="18" spans="1:10" x14ac:dyDescent="0.3">
      <c r="A18">
        <v>0.31078053142483802</v>
      </c>
      <c r="B18">
        <v>0</v>
      </c>
      <c r="C18">
        <v>0.74</v>
      </c>
      <c r="D18">
        <v>1</v>
      </c>
      <c r="E18">
        <v>0.26</v>
      </c>
      <c r="F18">
        <v>1.48</v>
      </c>
      <c r="G18">
        <v>0</v>
      </c>
      <c r="H18">
        <v>0.79187721224818297</v>
      </c>
      <c r="I18" s="1">
        <f t="shared" si="0"/>
        <v>0.73869773206632161</v>
      </c>
      <c r="J18" s="1">
        <f t="shared" si="1"/>
        <v>-5.317948018186136E-2</v>
      </c>
    </row>
    <row r="19" spans="1:10" x14ac:dyDescent="0.3">
      <c r="A19">
        <v>0.44558618529625499</v>
      </c>
      <c r="B19">
        <v>0</v>
      </c>
      <c r="C19">
        <v>0.7</v>
      </c>
      <c r="D19">
        <v>1</v>
      </c>
      <c r="E19">
        <v>0.3</v>
      </c>
      <c r="F19">
        <v>1</v>
      </c>
      <c r="G19">
        <v>0</v>
      </c>
      <c r="H19">
        <v>0.71037793992268405</v>
      </c>
      <c r="I19" s="1">
        <f t="shared" si="0"/>
        <v>0.67176760498626742</v>
      </c>
      <c r="J19" s="1">
        <f t="shared" si="1"/>
        <v>-3.8610334936416635E-2</v>
      </c>
    </row>
    <row r="20" spans="1:10" x14ac:dyDescent="0.3">
      <c r="A20">
        <v>0.44558618529625499</v>
      </c>
      <c r="B20">
        <v>0</v>
      </c>
      <c r="C20">
        <v>0.55000000000000004</v>
      </c>
      <c r="D20">
        <v>1</v>
      </c>
      <c r="E20">
        <v>0.45</v>
      </c>
      <c r="F20">
        <v>1</v>
      </c>
      <c r="G20">
        <v>0</v>
      </c>
      <c r="H20">
        <v>0.72503622437123105</v>
      </c>
      <c r="I20" s="1">
        <f t="shared" si="0"/>
        <v>0.67176760498626742</v>
      </c>
      <c r="J20" s="1">
        <f t="shared" si="1"/>
        <v>-5.3268619384963634E-2</v>
      </c>
    </row>
    <row r="21" spans="1:10" x14ac:dyDescent="0.3">
      <c r="A21">
        <v>0.44558618529625499</v>
      </c>
      <c r="B21">
        <v>0</v>
      </c>
      <c r="C21">
        <v>0.4</v>
      </c>
      <c r="D21">
        <v>1</v>
      </c>
      <c r="E21">
        <v>0.6</v>
      </c>
      <c r="F21">
        <v>1</v>
      </c>
      <c r="G21">
        <v>0</v>
      </c>
      <c r="H21">
        <v>0.74382678239361499</v>
      </c>
      <c r="I21" s="1">
        <f t="shared" si="0"/>
        <v>0.67176760498626742</v>
      </c>
      <c r="J21" s="1">
        <f t="shared" si="1"/>
        <v>-7.2059177407347574E-2</v>
      </c>
    </row>
    <row r="22" spans="1:10" x14ac:dyDescent="0.3">
      <c r="A22">
        <v>0.51712291666666699</v>
      </c>
      <c r="B22">
        <v>0</v>
      </c>
      <c r="C22">
        <v>0.67777777777777803</v>
      </c>
      <c r="D22">
        <v>1</v>
      </c>
      <c r="E22">
        <v>0.32222222222222202</v>
      </c>
      <c r="F22">
        <v>0.66666666666666696</v>
      </c>
      <c r="G22">
        <v>0</v>
      </c>
      <c r="H22">
        <v>0.893360329437204</v>
      </c>
      <c r="I22" s="1">
        <f t="shared" si="0"/>
        <v>0.88449805316442864</v>
      </c>
      <c r="J22" s="1">
        <f t="shared" si="1"/>
        <v>-8.8622762727753601E-3</v>
      </c>
    </row>
    <row r="23" spans="1:10" x14ac:dyDescent="0.3">
      <c r="A23">
        <v>0.59769387755101999</v>
      </c>
      <c r="B23">
        <v>0</v>
      </c>
      <c r="C23">
        <v>0.45</v>
      </c>
      <c r="D23">
        <v>1</v>
      </c>
      <c r="E23">
        <v>0.55000000000000004</v>
      </c>
      <c r="F23">
        <v>0.49</v>
      </c>
      <c r="G23">
        <v>0</v>
      </c>
      <c r="H23">
        <v>1.08079025732791</v>
      </c>
      <c r="I23" s="1">
        <f t="shared" si="0"/>
        <v>1.0971650515998488</v>
      </c>
      <c r="J23" s="1">
        <f t="shared" si="1"/>
        <v>1.6374794271938775E-2</v>
      </c>
    </row>
    <row r="24" spans="1:10" x14ac:dyDescent="0.3">
      <c r="A24">
        <v>0.59769387755101999</v>
      </c>
      <c r="B24">
        <v>0</v>
      </c>
      <c r="C24">
        <v>0.24</v>
      </c>
      <c r="D24">
        <v>1</v>
      </c>
      <c r="E24">
        <v>0.76</v>
      </c>
      <c r="F24">
        <v>0.49</v>
      </c>
      <c r="G24">
        <v>0</v>
      </c>
      <c r="H24">
        <v>1.07972987178547</v>
      </c>
      <c r="I24" s="1">
        <f t="shared" si="0"/>
        <v>1.0971650515998488</v>
      </c>
      <c r="J24" s="1">
        <f t="shared" si="1"/>
        <v>1.7435179814378809E-2</v>
      </c>
    </row>
    <row r="25" spans="1:10" x14ac:dyDescent="0.3">
      <c r="A25">
        <v>0.27245455366140803</v>
      </c>
      <c r="B25">
        <v>0</v>
      </c>
      <c r="C25">
        <v>0.64973730297723298</v>
      </c>
      <c r="D25">
        <v>1</v>
      </c>
      <c r="E25">
        <v>0.35026269702276702</v>
      </c>
      <c r="F25">
        <v>1.0507880910683001</v>
      </c>
      <c r="G25">
        <v>0</v>
      </c>
      <c r="H25">
        <v>0.44192978912404501</v>
      </c>
      <c r="I25" s="1">
        <f t="shared" si="0"/>
        <v>0.4186257029803821</v>
      </c>
      <c r="J25" s="1">
        <f t="shared" si="1"/>
        <v>-2.3304086143662917E-2</v>
      </c>
    </row>
    <row r="26" spans="1:10" x14ac:dyDescent="0.3">
      <c r="A26">
        <v>0.56428</v>
      </c>
      <c r="B26">
        <v>0</v>
      </c>
      <c r="C26">
        <v>0.90551181102362199</v>
      </c>
      <c r="D26">
        <v>1</v>
      </c>
      <c r="E26">
        <v>9.4488188976377896E-2</v>
      </c>
      <c r="F26">
        <v>0.47244094488188998</v>
      </c>
      <c r="G26">
        <v>0</v>
      </c>
      <c r="H26">
        <v>0.54003422963894898</v>
      </c>
      <c r="I26" s="1">
        <f t="shared" si="0"/>
        <v>0.5342577910072428</v>
      </c>
      <c r="J26" s="1">
        <f t="shared" si="1"/>
        <v>-5.7764386317061822E-3</v>
      </c>
    </row>
    <row r="27" spans="1:10" x14ac:dyDescent="0.3">
      <c r="A27">
        <v>0.56428</v>
      </c>
      <c r="B27">
        <v>0</v>
      </c>
      <c r="C27">
        <v>0.66929133858267698</v>
      </c>
      <c r="D27">
        <v>1</v>
      </c>
      <c r="E27">
        <v>0.33070866141732302</v>
      </c>
      <c r="F27">
        <v>0.47244094488188998</v>
      </c>
      <c r="G27">
        <v>0</v>
      </c>
      <c r="H27">
        <v>0.50258585117366805</v>
      </c>
      <c r="I27" s="1">
        <f t="shared" si="0"/>
        <v>0.5342577910072428</v>
      </c>
      <c r="J27" s="1">
        <f t="shared" si="1"/>
        <v>3.1671939833574747E-2</v>
      </c>
    </row>
    <row r="28" spans="1:10" x14ac:dyDescent="0.3">
      <c r="A28">
        <v>0.56428</v>
      </c>
      <c r="B28">
        <v>0</v>
      </c>
      <c r="C28">
        <v>0.511811023622047</v>
      </c>
      <c r="D28">
        <v>1</v>
      </c>
      <c r="E28">
        <v>0.488188976377953</v>
      </c>
      <c r="F28">
        <v>0.47244094488188998</v>
      </c>
      <c r="G28">
        <v>0</v>
      </c>
      <c r="H28">
        <v>0.52036911259072904</v>
      </c>
      <c r="I28" s="1">
        <f t="shared" si="0"/>
        <v>0.5342577910072428</v>
      </c>
      <c r="J28" s="1">
        <f t="shared" si="1"/>
        <v>1.3888678416513756E-2</v>
      </c>
    </row>
    <row r="29" spans="1:10" x14ac:dyDescent="0.3">
      <c r="A29">
        <v>0.56428</v>
      </c>
      <c r="B29">
        <v>0</v>
      </c>
      <c r="C29">
        <v>0.43307086614173201</v>
      </c>
      <c r="D29">
        <v>1</v>
      </c>
      <c r="E29">
        <v>0.56692913385826804</v>
      </c>
      <c r="F29">
        <v>0.47244094488188998</v>
      </c>
      <c r="G29">
        <v>0</v>
      </c>
      <c r="H29">
        <v>0.51287798990750799</v>
      </c>
      <c r="I29" s="1">
        <f t="shared" si="0"/>
        <v>0.5342577910072428</v>
      </c>
      <c r="J29" s="1">
        <f t="shared" si="1"/>
        <v>2.1379801099734808E-2</v>
      </c>
    </row>
    <row r="30" spans="1:10" x14ac:dyDescent="0.3">
      <c r="A30">
        <v>0.56428</v>
      </c>
      <c r="B30">
        <v>0</v>
      </c>
      <c r="C30">
        <v>0.35433070866141703</v>
      </c>
      <c r="D30">
        <v>1</v>
      </c>
      <c r="E30">
        <v>0.64566929133858297</v>
      </c>
      <c r="F30">
        <v>0.47244094488188998</v>
      </c>
      <c r="G30">
        <v>0</v>
      </c>
      <c r="H30">
        <v>0.51691088829982601</v>
      </c>
      <c r="I30" s="1">
        <f t="shared" si="0"/>
        <v>0.5342577910072428</v>
      </c>
      <c r="J30" s="1">
        <f t="shared" si="1"/>
        <v>1.7346902707416789E-2</v>
      </c>
    </row>
    <row r="31" spans="1:10" x14ac:dyDescent="0.3">
      <c r="A31">
        <v>0.56428</v>
      </c>
      <c r="B31">
        <v>0</v>
      </c>
      <c r="C31">
        <v>0.27559055118110198</v>
      </c>
      <c r="D31">
        <v>1</v>
      </c>
      <c r="E31">
        <v>0.72440944881889802</v>
      </c>
      <c r="F31">
        <v>0.47244094488188998</v>
      </c>
      <c r="G31">
        <v>0</v>
      </c>
      <c r="H31">
        <v>0.52641228905528903</v>
      </c>
      <c r="I31" s="1">
        <f t="shared" si="0"/>
        <v>0.5342577910072428</v>
      </c>
      <c r="J31" s="1">
        <f t="shared" si="1"/>
        <v>7.8455019519537705E-3</v>
      </c>
    </row>
    <row r="32" spans="1:10" x14ac:dyDescent="0.3">
      <c r="A32">
        <v>0.56428</v>
      </c>
      <c r="B32">
        <v>0</v>
      </c>
      <c r="C32">
        <v>0.196850393700787</v>
      </c>
      <c r="D32">
        <v>1</v>
      </c>
      <c r="E32">
        <v>0.80314960629921295</v>
      </c>
      <c r="F32">
        <v>0.47244094488188998</v>
      </c>
      <c r="G32">
        <v>0</v>
      </c>
      <c r="H32">
        <v>0.53053808049791995</v>
      </c>
      <c r="I32" s="1">
        <f t="shared" si="0"/>
        <v>0.5342577910072428</v>
      </c>
      <c r="J32" s="1">
        <f t="shared" si="1"/>
        <v>3.7197105093228489E-3</v>
      </c>
    </row>
    <row r="33" spans="1:11" x14ac:dyDescent="0.3">
      <c r="A33">
        <v>0.56428</v>
      </c>
      <c r="B33">
        <v>0</v>
      </c>
      <c r="C33">
        <v>0.118110236220472</v>
      </c>
      <c r="D33">
        <v>1</v>
      </c>
      <c r="E33">
        <v>0.88188976377952799</v>
      </c>
      <c r="F33">
        <v>0.47244094488188998</v>
      </c>
      <c r="G33">
        <v>0</v>
      </c>
      <c r="H33">
        <v>0.58217869759262997</v>
      </c>
      <c r="I33" s="1">
        <f t="shared" si="0"/>
        <v>0.5342577910072428</v>
      </c>
      <c r="J33" s="1">
        <f t="shared" si="1"/>
        <v>-4.7920906585387169E-2</v>
      </c>
    </row>
    <row r="34" spans="1:11" x14ac:dyDescent="0.3">
      <c r="A34">
        <v>0.56428</v>
      </c>
      <c r="B34">
        <v>0</v>
      </c>
      <c r="C34">
        <v>7.8740157480315001E-2</v>
      </c>
      <c r="D34">
        <v>1</v>
      </c>
      <c r="E34">
        <v>0.92125984251968496</v>
      </c>
      <c r="F34">
        <v>0.47244094488188998</v>
      </c>
      <c r="G34">
        <v>0</v>
      </c>
      <c r="H34">
        <v>0.62731123927434096</v>
      </c>
      <c r="I34" s="1">
        <f t="shared" si="0"/>
        <v>0.5342577910072428</v>
      </c>
      <c r="J34" s="1">
        <f t="shared" si="1"/>
        <v>-9.305344826709816E-2</v>
      </c>
    </row>
    <row r="35" spans="1:11" x14ac:dyDescent="0.3">
      <c r="A35">
        <v>0.24866889861532601</v>
      </c>
      <c r="B35">
        <v>0</v>
      </c>
      <c r="C35">
        <v>0.83</v>
      </c>
      <c r="D35">
        <v>1</v>
      </c>
      <c r="E35">
        <v>0.17</v>
      </c>
      <c r="F35">
        <v>1.5</v>
      </c>
      <c r="G35">
        <v>0</v>
      </c>
      <c r="H35">
        <v>0.95237188425948804</v>
      </c>
      <c r="I35" s="1">
        <f t="shared" si="0"/>
        <v>0.96025690236717454</v>
      </c>
      <c r="J35" s="1">
        <f t="shared" si="1"/>
        <v>7.8850181076864923E-3</v>
      </c>
    </row>
    <row r="36" spans="1:11" x14ac:dyDescent="0.3">
      <c r="A36">
        <v>0.368816399721904</v>
      </c>
      <c r="B36">
        <v>0</v>
      </c>
      <c r="C36">
        <v>0.76</v>
      </c>
      <c r="D36">
        <v>1</v>
      </c>
      <c r="E36">
        <v>0.24</v>
      </c>
      <c r="F36">
        <v>0.48</v>
      </c>
      <c r="G36">
        <v>0</v>
      </c>
      <c r="H36">
        <v>0.963378239915896</v>
      </c>
      <c r="I36" s="1">
        <f t="shared" si="0"/>
        <v>0.9473512985974033</v>
      </c>
      <c r="J36" s="1">
        <f t="shared" si="1"/>
        <v>-1.6026941318492693E-2</v>
      </c>
    </row>
    <row r="37" spans="1:11" x14ac:dyDescent="0.3">
      <c r="A37" t="s">
        <v>2</v>
      </c>
      <c r="B37" t="s">
        <v>3</v>
      </c>
      <c r="C37" t="s">
        <v>4</v>
      </c>
      <c r="D37" t="s">
        <v>5</v>
      </c>
      <c r="E37" t="s">
        <v>6</v>
      </c>
      <c r="F37" t="s">
        <v>7</v>
      </c>
      <c r="G37" t="s">
        <v>8</v>
      </c>
      <c r="H37" t="s">
        <v>9</v>
      </c>
      <c r="I37" s="1" t="e">
        <f t="shared" si="0"/>
        <v>#VALUE!</v>
      </c>
      <c r="J37" s="1" t="e">
        <f t="shared" si="1"/>
        <v>#VALUE!</v>
      </c>
      <c r="K37">
        <f>SQRT(SUMSQ(J39:J45)/COUNT(J39:J45))</f>
        <v>4.8025312349720489E-2</v>
      </c>
    </row>
    <row r="38" spans="1:11" x14ac:dyDescent="0.3">
      <c r="A38">
        <v>0.319090064269206</v>
      </c>
      <c r="B38">
        <v>0</v>
      </c>
      <c r="C38">
        <v>0.85141289511736995</v>
      </c>
      <c r="D38">
        <v>1</v>
      </c>
      <c r="E38">
        <v>0.14858710488262999</v>
      </c>
      <c r="F38">
        <v>0.60813276213900602</v>
      </c>
      <c r="G38">
        <v>0</v>
      </c>
      <c r="H38">
        <v>0.73994047317206502</v>
      </c>
      <c r="I38" s="1">
        <f t="shared" si="0"/>
        <v>0.73647925326687669</v>
      </c>
      <c r="J38" s="1">
        <f t="shared" si="1"/>
        <v>-3.4612199051883286E-3</v>
      </c>
    </row>
    <row r="39" spans="1:11" x14ac:dyDescent="0.3">
      <c r="A39">
        <v>0.485065502686992</v>
      </c>
      <c r="B39">
        <v>0</v>
      </c>
      <c r="C39">
        <v>0.86619718309859195</v>
      </c>
      <c r="D39">
        <v>1</v>
      </c>
      <c r="E39">
        <v>0.13380281690140799</v>
      </c>
      <c r="F39">
        <v>0.63380281690140805</v>
      </c>
      <c r="G39">
        <v>0</v>
      </c>
      <c r="H39">
        <v>0.57452769170888396</v>
      </c>
      <c r="I39" s="1">
        <f t="shared" si="0"/>
        <v>0.63425066511850425</v>
      </c>
      <c r="J39" s="1">
        <f t="shared" si="1"/>
        <v>5.9722973409620295E-2</v>
      </c>
    </row>
    <row r="40" spans="1:11" x14ac:dyDescent="0.3">
      <c r="A40">
        <v>0.33943859102284801</v>
      </c>
      <c r="B40">
        <v>0</v>
      </c>
      <c r="C40">
        <v>0.85</v>
      </c>
      <c r="D40">
        <v>1</v>
      </c>
      <c r="E40">
        <v>0.15</v>
      </c>
      <c r="F40">
        <v>0.64285714285714302</v>
      </c>
      <c r="G40">
        <v>0</v>
      </c>
      <c r="H40">
        <v>0.55633283991580895</v>
      </c>
      <c r="I40" s="1">
        <f t="shared" si="0"/>
        <v>0.61121337922956109</v>
      </c>
      <c r="J40" s="1">
        <f t="shared" si="1"/>
        <v>5.4880539313752141E-2</v>
      </c>
    </row>
    <row r="41" spans="1:11" x14ac:dyDescent="0.3">
      <c r="A41">
        <v>0.59769387755101999</v>
      </c>
      <c r="B41">
        <v>0</v>
      </c>
      <c r="C41">
        <v>0.01</v>
      </c>
      <c r="D41">
        <v>1</v>
      </c>
      <c r="E41">
        <v>0.99</v>
      </c>
      <c r="F41">
        <v>0.49</v>
      </c>
      <c r="G41">
        <v>0</v>
      </c>
      <c r="H41">
        <v>1.18845467109234</v>
      </c>
      <c r="I41" s="1">
        <f t="shared" si="0"/>
        <v>1.0971650515998488</v>
      </c>
      <c r="J41" s="1">
        <f t="shared" si="1"/>
        <v>-9.1289619492491259E-2</v>
      </c>
    </row>
    <row r="42" spans="1:11" x14ac:dyDescent="0.3">
      <c r="A42">
        <v>0.56428</v>
      </c>
      <c r="B42">
        <v>0</v>
      </c>
      <c r="C42">
        <v>0.82677165354330695</v>
      </c>
      <c r="D42">
        <v>1</v>
      </c>
      <c r="E42">
        <v>0.17322834645669299</v>
      </c>
      <c r="F42">
        <v>0.47244094488188998</v>
      </c>
      <c r="G42">
        <v>0</v>
      </c>
      <c r="H42">
        <v>0.52845338176512402</v>
      </c>
      <c r="I42" s="1">
        <f t="shared" si="0"/>
        <v>0.5342577910072428</v>
      </c>
      <c r="J42" s="1">
        <f t="shared" si="1"/>
        <v>5.8044092421187798E-3</v>
      </c>
    </row>
    <row r="43" spans="1:11" x14ac:dyDescent="0.3">
      <c r="A43">
        <v>0.56428</v>
      </c>
      <c r="B43">
        <v>0</v>
      </c>
      <c r="C43">
        <v>0.74803149606299202</v>
      </c>
      <c r="D43">
        <v>1</v>
      </c>
      <c r="E43">
        <v>0.25196850393700798</v>
      </c>
      <c r="F43">
        <v>0.47244094488188998</v>
      </c>
      <c r="G43">
        <v>0</v>
      </c>
      <c r="H43">
        <v>0.524053092168004</v>
      </c>
      <c r="I43" s="1">
        <f t="shared" si="0"/>
        <v>0.5342577910072428</v>
      </c>
      <c r="J43" s="1">
        <f t="shared" si="1"/>
        <v>1.0204698839238802E-2</v>
      </c>
    </row>
    <row r="44" spans="1:11" x14ac:dyDescent="0.3">
      <c r="A44">
        <v>0.56428</v>
      </c>
      <c r="B44">
        <v>0</v>
      </c>
      <c r="C44">
        <v>0.59055118110236204</v>
      </c>
      <c r="D44">
        <v>1</v>
      </c>
      <c r="E44">
        <v>0.40944881889763801</v>
      </c>
      <c r="F44">
        <v>0.47244094488188998</v>
      </c>
      <c r="G44">
        <v>0</v>
      </c>
      <c r="H44">
        <v>0.540478853840207</v>
      </c>
      <c r="I44" s="1">
        <f t="shared" si="0"/>
        <v>0.5342577910072428</v>
      </c>
      <c r="J44" s="1">
        <f t="shared" si="1"/>
        <v>-6.221062832964197E-3</v>
      </c>
    </row>
    <row r="45" spans="1:11" x14ac:dyDescent="0.3">
      <c r="A45">
        <v>0.24866889861532601</v>
      </c>
      <c r="B45">
        <v>0</v>
      </c>
      <c r="C45">
        <v>0.81</v>
      </c>
      <c r="D45">
        <v>1</v>
      </c>
      <c r="E45">
        <v>0.19</v>
      </c>
      <c r="F45">
        <v>1.5</v>
      </c>
      <c r="G45">
        <v>0</v>
      </c>
      <c r="H45">
        <v>0.92776099584253802</v>
      </c>
      <c r="I45" s="1">
        <f t="shared" si="0"/>
        <v>0.96025690236717454</v>
      </c>
      <c r="J45" s="1">
        <f t="shared" si="1"/>
        <v>3.249590652463652E-2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R105"/>
  <sheetViews>
    <sheetView tabSelected="1" topLeftCell="B1" workbookViewId="0">
      <selection activeCell="J10" sqref="J10"/>
    </sheetView>
  </sheetViews>
  <sheetFormatPr defaultRowHeight="14.4" x14ac:dyDescent="0.3"/>
  <sheetData>
    <row r="3" spans="1:18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K3" s="2">
        <f>SQRT(SUMSQ(J4:J85)/COUNT(J4:J85))</f>
        <v>0.11338154083330244</v>
      </c>
      <c r="L3" s="2">
        <f>K86</f>
        <v>0.11521018023744826</v>
      </c>
    </row>
    <row r="4" spans="1:18" x14ac:dyDescent="0.3">
      <c r="A4">
        <v>0.31991092333550902</v>
      </c>
      <c r="B4">
        <v>0.48571428571428599</v>
      </c>
      <c r="C4">
        <v>9.2691029900332206E-2</v>
      </c>
      <c r="D4">
        <v>0.204318936877076</v>
      </c>
      <c r="E4">
        <v>0.111627906976744</v>
      </c>
      <c r="F4">
        <v>0.46511627906976699</v>
      </c>
      <c r="G4">
        <v>0.86764705882352899</v>
      </c>
      <c r="H4">
        <v>0.97744910883861502</v>
      </c>
      <c r="I4" s="2">
        <f>case3_(A4,B4,C4,D4,E4,F4,G4)</f>
        <v>0.89240984651815303</v>
      </c>
      <c r="J4" s="2">
        <f>I4-H4</f>
        <v>-8.5039262320461995E-2</v>
      </c>
      <c r="O4" t="s">
        <v>12</v>
      </c>
      <c r="P4" t="s">
        <v>17</v>
      </c>
      <c r="Q4" t="s">
        <v>18</v>
      </c>
      <c r="R4" t="s">
        <v>19</v>
      </c>
    </row>
    <row r="5" spans="1:18" x14ac:dyDescent="0.3">
      <c r="A5">
        <v>0.319090064269206</v>
      </c>
      <c r="B5">
        <v>0.24444444444444399</v>
      </c>
      <c r="C5">
        <v>3.29214858090238E-2</v>
      </c>
      <c r="D5">
        <v>0.24345057171804901</v>
      </c>
      <c r="E5">
        <v>0.210529085909025</v>
      </c>
      <c r="F5">
        <v>0.59211305411913295</v>
      </c>
      <c r="G5">
        <v>0.68181818181818199</v>
      </c>
      <c r="H5">
        <v>0.70688797326148201</v>
      </c>
      <c r="I5" s="2">
        <f t="shared" ref="I5:I68" si="0">case3_(A5,B5,C5,D5,E5,F5,G5)</f>
        <v>0.70996037730149586</v>
      </c>
      <c r="J5" s="2">
        <f t="shared" ref="J5:J68" si="1">I5-H5</f>
        <v>3.0724040400138541E-3</v>
      </c>
      <c r="O5">
        <v>12</v>
      </c>
      <c r="P5">
        <v>93</v>
      </c>
      <c r="Q5" s="2">
        <v>8.6954334794167129E-2</v>
      </c>
      <c r="R5" s="2">
        <v>8.358441973198287E-2</v>
      </c>
    </row>
    <row r="6" spans="1:18" x14ac:dyDescent="0.3">
      <c r="A6">
        <v>0.319090064269206</v>
      </c>
      <c r="B6">
        <v>0.24444444444444399</v>
      </c>
      <c r="C6">
        <v>3.29214858090238E-2</v>
      </c>
      <c r="D6">
        <v>0.24345057171804901</v>
      </c>
      <c r="E6">
        <v>0.210529085909025</v>
      </c>
      <c r="F6">
        <v>0.59211305411913295</v>
      </c>
      <c r="G6">
        <v>0.68181818181818199</v>
      </c>
      <c r="H6">
        <v>0.61683814965146599</v>
      </c>
      <c r="I6" s="2">
        <f t="shared" si="0"/>
        <v>0.70996037730149586</v>
      </c>
      <c r="J6" s="2">
        <f t="shared" si="1"/>
        <v>9.3122227650029865E-2</v>
      </c>
      <c r="O6" s="3">
        <v>7</v>
      </c>
      <c r="P6" s="3">
        <v>25</v>
      </c>
      <c r="Q6" s="2">
        <v>0.11327269680748871</v>
      </c>
      <c r="R6" s="2">
        <v>0.1151151244435024</v>
      </c>
    </row>
    <row r="7" spans="1:18" x14ac:dyDescent="0.3">
      <c r="A7">
        <v>0.319090064269206</v>
      </c>
      <c r="B7">
        <v>0.24444444444444399</v>
      </c>
      <c r="C7">
        <v>9.27235643144734E-2</v>
      </c>
      <c r="D7">
        <v>0.30463286713286702</v>
      </c>
      <c r="E7">
        <v>0.21190930281839401</v>
      </c>
      <c r="F7">
        <v>0.595994914176732</v>
      </c>
      <c r="G7">
        <v>0.68181818181818199</v>
      </c>
      <c r="H7">
        <v>0.65247126126871702</v>
      </c>
      <c r="I7" s="2">
        <f t="shared" si="0"/>
        <v>0.71009679761565025</v>
      </c>
      <c r="J7" s="2">
        <f t="shared" si="1"/>
        <v>5.7625536346933237E-2</v>
      </c>
      <c r="L7" s="3"/>
      <c r="O7" s="3"/>
      <c r="P7" s="3"/>
      <c r="Q7" s="2"/>
      <c r="R7" s="2"/>
    </row>
    <row r="8" spans="1:18" x14ac:dyDescent="0.3">
      <c r="A8">
        <v>0.319090064269206</v>
      </c>
      <c r="B8">
        <v>0.24444444444444399</v>
      </c>
      <c r="C8">
        <v>0.274586296739666</v>
      </c>
      <c r="D8">
        <v>0.49992254066614999</v>
      </c>
      <c r="E8">
        <v>0.22533624392648399</v>
      </c>
      <c r="F8">
        <v>0.63375818604323597</v>
      </c>
      <c r="G8">
        <v>0.68181818181818199</v>
      </c>
      <c r="H8">
        <v>0.78342561907072505</v>
      </c>
      <c r="I8" s="2">
        <f t="shared" si="0"/>
        <v>0.71186318011161742</v>
      </c>
      <c r="J8" s="2">
        <f t="shared" si="1"/>
        <v>-7.1562438959107633E-2</v>
      </c>
      <c r="Q8" s="2"/>
      <c r="R8" s="2"/>
    </row>
    <row r="9" spans="1:18" x14ac:dyDescent="0.3">
      <c r="A9">
        <v>0.319090064269206</v>
      </c>
      <c r="B9">
        <v>0.24444444444444399</v>
      </c>
      <c r="C9">
        <v>0.56377595533065805</v>
      </c>
      <c r="D9">
        <v>0.77853240809094904</v>
      </c>
      <c r="E9">
        <v>0.21475645276029201</v>
      </c>
      <c r="F9">
        <v>0.60400252338831995</v>
      </c>
      <c r="G9">
        <v>0.68181818181818199</v>
      </c>
      <c r="H9">
        <v>0.74348682455487103</v>
      </c>
      <c r="I9" s="2">
        <f t="shared" si="0"/>
        <v>0.71042589247948262</v>
      </c>
      <c r="J9" s="2">
        <f t="shared" si="1"/>
        <v>-3.3060932075388405E-2</v>
      </c>
      <c r="L9" s="3"/>
      <c r="Q9" s="2"/>
      <c r="R9" s="2"/>
    </row>
    <row r="10" spans="1:18" x14ac:dyDescent="0.3">
      <c r="A10">
        <v>0.319090064269206</v>
      </c>
      <c r="B10">
        <v>0.24444444444444399</v>
      </c>
      <c r="C10">
        <v>0.533737854237334</v>
      </c>
      <c r="D10">
        <v>0.74996283633120298</v>
      </c>
      <c r="E10">
        <v>0.21622498209386901</v>
      </c>
      <c r="F10">
        <v>0.60813276213900602</v>
      </c>
      <c r="G10">
        <v>0.68181818181818199</v>
      </c>
      <c r="H10">
        <v>0.72151415466245805</v>
      </c>
      <c r="I10" s="2">
        <f t="shared" si="0"/>
        <v>0.71061295981631489</v>
      </c>
      <c r="J10" s="2">
        <f t="shared" si="1"/>
        <v>-1.0901194846143158E-2</v>
      </c>
      <c r="L10" s="3"/>
      <c r="Q10" s="2"/>
      <c r="R10" s="2"/>
    </row>
    <row r="11" spans="1:18" x14ac:dyDescent="0.3">
      <c r="A11">
        <v>0.319090064269206</v>
      </c>
      <c r="B11">
        <v>0.24444444444444399</v>
      </c>
      <c r="C11">
        <v>0.52661404304114801</v>
      </c>
      <c r="D11">
        <v>0.73995306541507799</v>
      </c>
      <c r="E11">
        <v>0.21333902237392999</v>
      </c>
      <c r="F11">
        <v>0.60001600042667802</v>
      </c>
      <c r="G11">
        <v>0.68181818181818199</v>
      </c>
      <c r="H11">
        <v>0.80287667156130005</v>
      </c>
      <c r="I11" s="2">
        <f t="shared" si="0"/>
        <v>0.7102553779637264</v>
      </c>
      <c r="J11" s="2">
        <f t="shared" si="1"/>
        <v>-9.2621293597573651E-2</v>
      </c>
      <c r="Q11" s="2"/>
      <c r="R11" s="2"/>
    </row>
    <row r="12" spans="1:18" x14ac:dyDescent="0.3">
      <c r="A12">
        <v>0.30376590132493603</v>
      </c>
      <c r="B12">
        <v>0.46666666666666701</v>
      </c>
      <c r="C12">
        <v>5.3551296505073301E-2</v>
      </c>
      <c r="D12">
        <v>0.335400225479143</v>
      </c>
      <c r="E12">
        <v>0.28184892897406999</v>
      </c>
      <c r="F12">
        <v>0.60396199065872103</v>
      </c>
      <c r="G12">
        <v>0.59523809523809501</v>
      </c>
      <c r="H12">
        <v>0.70007159964167098</v>
      </c>
      <c r="I12" s="2">
        <f t="shared" si="0"/>
        <v>0.70132309828894701</v>
      </c>
      <c r="J12" s="2">
        <f t="shared" si="1"/>
        <v>1.2514986472760281E-3</v>
      </c>
      <c r="Q12" s="2"/>
      <c r="R12" s="2"/>
    </row>
    <row r="13" spans="1:18" x14ac:dyDescent="0.3">
      <c r="A13">
        <v>0.30376590132493603</v>
      </c>
      <c r="B13">
        <v>0.46666666666666701</v>
      </c>
      <c r="C13">
        <v>0.10598052851182201</v>
      </c>
      <c r="D13">
        <v>0.38414464534075099</v>
      </c>
      <c r="E13">
        <v>0.278164116828929</v>
      </c>
      <c r="F13">
        <v>0.59606596463341899</v>
      </c>
      <c r="G13">
        <v>0.59523809523809501</v>
      </c>
      <c r="H13">
        <v>0.70764913876013102</v>
      </c>
      <c r="I13" s="2">
        <f t="shared" si="0"/>
        <v>0.70140300214299411</v>
      </c>
      <c r="J13" s="2">
        <f t="shared" si="1"/>
        <v>-6.2461366171369104E-3</v>
      </c>
      <c r="L13" s="3"/>
      <c r="Q13" s="2"/>
      <c r="R13" s="2"/>
    </row>
    <row r="14" spans="1:18" x14ac:dyDescent="0.3">
      <c r="A14">
        <v>0.30376590132493603</v>
      </c>
      <c r="B14">
        <v>0.46666666666666701</v>
      </c>
      <c r="C14">
        <v>0.57607788595271203</v>
      </c>
      <c r="D14">
        <v>0.85424200278164097</v>
      </c>
      <c r="E14">
        <v>0.278164116828929</v>
      </c>
      <c r="F14">
        <v>0.59606596463341899</v>
      </c>
      <c r="G14">
        <v>0.59523809523809501</v>
      </c>
      <c r="H14">
        <v>0.61402757856855505</v>
      </c>
      <c r="I14" s="2">
        <f t="shared" si="0"/>
        <v>0.70140300214299411</v>
      </c>
      <c r="J14" s="2">
        <f t="shared" si="1"/>
        <v>8.7375423574439059E-2</v>
      </c>
    </row>
    <row r="15" spans="1:18" x14ac:dyDescent="0.3">
      <c r="A15">
        <v>0.30376590132493603</v>
      </c>
      <c r="B15">
        <v>0.46666666666666701</v>
      </c>
      <c r="C15">
        <v>0.45758989843535502</v>
      </c>
      <c r="D15">
        <v>0.73208893768871797</v>
      </c>
      <c r="E15">
        <v>0.274499039253363</v>
      </c>
      <c r="F15">
        <v>0.588212226971491</v>
      </c>
      <c r="G15">
        <v>0.59523809523809501</v>
      </c>
      <c r="H15">
        <v>0.61455818356296898</v>
      </c>
      <c r="I15" s="2">
        <f t="shared" si="0"/>
        <v>0.70156267061437094</v>
      </c>
      <c r="J15" s="2">
        <f t="shared" si="1"/>
        <v>8.7004487051401957E-2</v>
      </c>
      <c r="L15" s="3"/>
    </row>
    <row r="16" spans="1:18" x14ac:dyDescent="0.3">
      <c r="A16">
        <v>0.30376590132493603</v>
      </c>
      <c r="B16">
        <v>0.46666666666666701</v>
      </c>
      <c r="C16">
        <v>0.520022402688323</v>
      </c>
      <c r="D16">
        <v>0.80005600672080701</v>
      </c>
      <c r="E16">
        <v>0.28003360403248401</v>
      </c>
      <c r="F16">
        <v>0.60007200864103705</v>
      </c>
      <c r="G16">
        <v>0.59523809523809501</v>
      </c>
      <c r="H16">
        <v>0.50086695792122804</v>
      </c>
      <c r="I16" s="2">
        <f t="shared" si="0"/>
        <v>0.70135403022927312</v>
      </c>
      <c r="J16" s="2">
        <f t="shared" si="1"/>
        <v>0.20048707230804508</v>
      </c>
    </row>
    <row r="17" spans="1:10" x14ac:dyDescent="0.3">
      <c r="A17">
        <v>0.30376590132493603</v>
      </c>
      <c r="B17">
        <v>0.46666666666666701</v>
      </c>
      <c r="C17">
        <v>0.62826333711691296</v>
      </c>
      <c r="D17">
        <v>0.91203178206583402</v>
      </c>
      <c r="E17">
        <v>0.28376844494892201</v>
      </c>
      <c r="F17">
        <v>0.60807523917626105</v>
      </c>
      <c r="G17">
        <v>0.59523809523809501</v>
      </c>
      <c r="H17">
        <v>0.43778641949873698</v>
      </c>
      <c r="I17" s="2">
        <f t="shared" si="0"/>
        <v>0.70130532207511342</v>
      </c>
      <c r="J17" s="2">
        <f t="shared" si="1"/>
        <v>0.26351890257637645</v>
      </c>
    </row>
    <row r="18" spans="1:10" x14ac:dyDescent="0.3">
      <c r="A18">
        <v>0.33339095296243298</v>
      </c>
      <c r="B18">
        <v>0.17777777777777801</v>
      </c>
      <c r="C18">
        <v>0.128571428571429</v>
      </c>
      <c r="D18">
        <v>0.36428571428571399</v>
      </c>
      <c r="E18">
        <v>0.23571428571428599</v>
      </c>
      <c r="F18">
        <v>0.64285714285714302</v>
      </c>
      <c r="G18">
        <v>0.75</v>
      </c>
      <c r="H18">
        <v>0.50655306131802003</v>
      </c>
      <c r="I18" s="2">
        <f t="shared" si="0"/>
        <v>0.70329429825702072</v>
      </c>
      <c r="J18" s="2">
        <f t="shared" si="1"/>
        <v>0.1967412369390007</v>
      </c>
    </row>
    <row r="19" spans="1:10" x14ac:dyDescent="0.3">
      <c r="A19">
        <v>0.33339095296243298</v>
      </c>
      <c r="B19">
        <v>0.17777777777777801</v>
      </c>
      <c r="C19">
        <v>0.192857142857143</v>
      </c>
      <c r="D19">
        <v>0.42857142857142799</v>
      </c>
      <c r="E19">
        <v>0.23571428571428599</v>
      </c>
      <c r="F19">
        <v>0.64285714285714302</v>
      </c>
      <c r="G19">
        <v>0.75</v>
      </c>
      <c r="H19">
        <v>0.50431082311596498</v>
      </c>
      <c r="I19" s="2">
        <f t="shared" si="0"/>
        <v>0.70329429825702072</v>
      </c>
      <c r="J19" s="2">
        <f t="shared" si="1"/>
        <v>0.19898347514105574</v>
      </c>
    </row>
    <row r="20" spans="1:10" x14ac:dyDescent="0.3">
      <c r="A20">
        <v>0.33339095296243298</v>
      </c>
      <c r="B20">
        <v>0.17777777777777801</v>
      </c>
      <c r="C20">
        <v>0.42142857142857099</v>
      </c>
      <c r="D20">
        <v>0.65714285714285703</v>
      </c>
      <c r="E20">
        <v>0.23571428571428599</v>
      </c>
      <c r="F20">
        <v>0.64285714285714302</v>
      </c>
      <c r="G20">
        <v>0.75</v>
      </c>
      <c r="H20">
        <v>0.54446914578801098</v>
      </c>
      <c r="I20" s="2">
        <f t="shared" si="0"/>
        <v>0.70329429825702072</v>
      </c>
      <c r="J20" s="2">
        <f t="shared" si="1"/>
        <v>0.15882515246900974</v>
      </c>
    </row>
    <row r="21" spans="1:10" x14ac:dyDescent="0.3">
      <c r="A21">
        <v>0.485065502686992</v>
      </c>
      <c r="B21">
        <v>0.17777777777777801</v>
      </c>
      <c r="C21">
        <v>0.59574468085106402</v>
      </c>
      <c r="D21">
        <v>0.82978723404255295</v>
      </c>
      <c r="E21">
        <v>0.23404255319148901</v>
      </c>
      <c r="F21">
        <v>0.63829787234042601</v>
      </c>
      <c r="G21">
        <v>0.75</v>
      </c>
      <c r="H21">
        <v>0.66920121588669601</v>
      </c>
      <c r="I21" s="2">
        <f t="shared" si="0"/>
        <v>0.6778008805837179</v>
      </c>
      <c r="J21" s="2">
        <f t="shared" si="1"/>
        <v>8.5996646970218915E-3</v>
      </c>
    </row>
    <row r="22" spans="1:10" x14ac:dyDescent="0.3">
      <c r="A22">
        <v>0.485065502686992</v>
      </c>
      <c r="B22">
        <v>0.17777777777777801</v>
      </c>
      <c r="C22">
        <v>0.442857142857143</v>
      </c>
      <c r="D22">
        <v>0.67857142857142805</v>
      </c>
      <c r="E22">
        <v>0.23571428571428599</v>
      </c>
      <c r="F22">
        <v>0.64285714285714302</v>
      </c>
      <c r="G22">
        <v>0.75</v>
      </c>
      <c r="H22">
        <v>0.81546208106100404</v>
      </c>
      <c r="I22" s="2">
        <f t="shared" si="0"/>
        <v>0.67831917943348496</v>
      </c>
      <c r="J22" s="2">
        <f t="shared" si="1"/>
        <v>-0.13714290162751908</v>
      </c>
    </row>
    <row r="23" spans="1:10" x14ac:dyDescent="0.3">
      <c r="A23">
        <v>0.485065502686992</v>
      </c>
      <c r="B23">
        <v>0.17777777777777801</v>
      </c>
      <c r="C23">
        <v>0.21126760563380301</v>
      </c>
      <c r="D23">
        <v>0.44366197183098599</v>
      </c>
      <c r="E23">
        <v>0.23239436619718301</v>
      </c>
      <c r="F23">
        <v>0.63380281690140805</v>
      </c>
      <c r="G23">
        <v>0.75</v>
      </c>
      <c r="H23">
        <v>0.47332869419266199</v>
      </c>
      <c r="I23" s="2">
        <f t="shared" si="0"/>
        <v>0.67726938743936471</v>
      </c>
      <c r="J23" s="2">
        <f t="shared" si="1"/>
        <v>0.20394069324670272</v>
      </c>
    </row>
    <row r="24" spans="1:10" x14ac:dyDescent="0.3">
      <c r="A24">
        <v>0.33472366352331001</v>
      </c>
      <c r="B24">
        <v>0.17777777777777801</v>
      </c>
      <c r="C24">
        <v>0.36428571428571399</v>
      </c>
      <c r="D24">
        <v>0.52857142857142803</v>
      </c>
      <c r="E24">
        <v>0.16428571428571401</v>
      </c>
      <c r="F24">
        <v>0.64285714285714302</v>
      </c>
      <c r="G24">
        <v>0.9375</v>
      </c>
      <c r="H24">
        <v>0.56273541851575104</v>
      </c>
      <c r="I24" s="2">
        <f t="shared" si="0"/>
        <v>0.60974701412620802</v>
      </c>
      <c r="J24" s="2">
        <f t="shared" si="1"/>
        <v>4.701159561045698E-2</v>
      </c>
    </row>
    <row r="25" spans="1:10" x14ac:dyDescent="0.3">
      <c r="A25">
        <v>0.33472366352331001</v>
      </c>
      <c r="B25">
        <v>0.17777777777777801</v>
      </c>
      <c r="C25">
        <v>0.107142857142857</v>
      </c>
      <c r="D25">
        <v>0.27142857142857102</v>
      </c>
      <c r="E25">
        <v>0.16428571428571401</v>
      </c>
      <c r="F25">
        <v>0.64285714285714302</v>
      </c>
      <c r="G25">
        <v>0.9375</v>
      </c>
      <c r="H25">
        <v>0.43073276138702399</v>
      </c>
      <c r="I25" s="2">
        <f t="shared" si="0"/>
        <v>0.60974701412620802</v>
      </c>
      <c r="J25" s="2">
        <f t="shared" si="1"/>
        <v>0.17901425273918403</v>
      </c>
    </row>
    <row r="26" spans="1:10" x14ac:dyDescent="0.3">
      <c r="A26">
        <v>0.48699700163245901</v>
      </c>
      <c r="B26">
        <v>0.17777777777777801</v>
      </c>
      <c r="C26">
        <v>0.30935251798561197</v>
      </c>
      <c r="D26">
        <v>0.47482014388489202</v>
      </c>
      <c r="E26">
        <v>0.16546762589928099</v>
      </c>
      <c r="F26">
        <v>0.64748201438848896</v>
      </c>
      <c r="G26">
        <v>0.9375</v>
      </c>
      <c r="H26">
        <v>0.69815340755890098</v>
      </c>
      <c r="I26" s="2">
        <f t="shared" si="0"/>
        <v>0.59075496414944995</v>
      </c>
      <c r="J26" s="2">
        <f t="shared" si="1"/>
        <v>-0.10739844340945104</v>
      </c>
    </row>
    <row r="27" spans="1:10" x14ac:dyDescent="0.3">
      <c r="A27">
        <v>0.48302343172405598</v>
      </c>
      <c r="B27">
        <v>0.17777777777777801</v>
      </c>
      <c r="C27">
        <v>0.388489208633093</v>
      </c>
      <c r="D27">
        <v>0.62589928057553901</v>
      </c>
      <c r="E27">
        <v>0.23741007194244601</v>
      </c>
      <c r="F27">
        <v>0.64748201438848896</v>
      </c>
      <c r="G27">
        <v>0.75</v>
      </c>
      <c r="H27">
        <v>0.71042002868104304</v>
      </c>
      <c r="I27" s="2">
        <f t="shared" si="0"/>
        <v>0.68080800224280213</v>
      </c>
      <c r="J27" s="2">
        <f t="shared" si="1"/>
        <v>-2.9612026438240902E-2</v>
      </c>
    </row>
    <row r="28" spans="1:10" x14ac:dyDescent="0.3">
      <c r="A28">
        <v>0.48302343172405598</v>
      </c>
      <c r="B28">
        <v>0.17777777777777801</v>
      </c>
      <c r="C28">
        <v>0.24285714285714299</v>
      </c>
      <c r="D28">
        <v>0.47857142857142898</v>
      </c>
      <c r="E28">
        <v>0.23571428571428599</v>
      </c>
      <c r="F28">
        <v>0.64285714285714302</v>
      </c>
      <c r="G28">
        <v>0.75</v>
      </c>
      <c r="H28">
        <v>0.87817174118255503</v>
      </c>
      <c r="I28" s="2">
        <f t="shared" si="0"/>
        <v>0.68030327651492306</v>
      </c>
      <c r="J28" s="2">
        <f t="shared" si="1"/>
        <v>-0.19786846466763197</v>
      </c>
    </row>
    <row r="29" spans="1:10" x14ac:dyDescent="0.3">
      <c r="A29">
        <v>0.33943859102284801</v>
      </c>
      <c r="B29">
        <v>0.17777777777777801</v>
      </c>
      <c r="C29">
        <v>0.4</v>
      </c>
      <c r="D29">
        <v>0.63571428571428601</v>
      </c>
      <c r="E29">
        <v>0.23571428571428599</v>
      </c>
      <c r="F29">
        <v>0.64285714285714302</v>
      </c>
      <c r="G29">
        <v>0.75</v>
      </c>
      <c r="H29">
        <v>0.79865239062231097</v>
      </c>
      <c r="I29" s="2">
        <f t="shared" si="0"/>
        <v>0.70312955794680432</v>
      </c>
      <c r="J29" s="2">
        <f t="shared" si="1"/>
        <v>-9.5522832675506653E-2</v>
      </c>
    </row>
    <row r="30" spans="1:10" x14ac:dyDescent="0.3">
      <c r="A30">
        <v>0.33943859102284801</v>
      </c>
      <c r="B30">
        <v>0.17777777777777801</v>
      </c>
      <c r="C30">
        <v>0.21678321678321699</v>
      </c>
      <c r="D30">
        <v>0.447552447552448</v>
      </c>
      <c r="E30">
        <v>0.230769230769231</v>
      </c>
      <c r="F30">
        <v>0.62937062937062904</v>
      </c>
      <c r="G30">
        <v>0.75</v>
      </c>
      <c r="H30">
        <v>0.53712722768343002</v>
      </c>
      <c r="I30" s="2">
        <f t="shared" si="0"/>
        <v>0.70153556545314555</v>
      </c>
      <c r="J30" s="2">
        <f t="shared" si="1"/>
        <v>0.16440833776971553</v>
      </c>
    </row>
    <row r="31" spans="1:10" x14ac:dyDescent="0.3">
      <c r="A31">
        <v>0.34186098845408902</v>
      </c>
      <c r="B31">
        <v>0.17777777777777801</v>
      </c>
      <c r="C31">
        <v>0.37410071942445999</v>
      </c>
      <c r="D31">
        <v>0.53956834532374098</v>
      </c>
      <c r="E31">
        <v>0.16546762589928099</v>
      </c>
      <c r="F31">
        <v>0.64748201438848896</v>
      </c>
      <c r="G31">
        <v>0.9375</v>
      </c>
      <c r="H31">
        <v>0.61783252726680804</v>
      </c>
      <c r="I31" s="2">
        <f t="shared" si="0"/>
        <v>0.61765418596060506</v>
      </c>
      <c r="J31" s="2">
        <f t="shared" si="1"/>
        <v>-1.7834130620297817E-4</v>
      </c>
    </row>
    <row r="32" spans="1:10" x14ac:dyDescent="0.3">
      <c r="A32">
        <v>0.34186098845408902</v>
      </c>
      <c r="B32">
        <v>0.17777777777777801</v>
      </c>
      <c r="C32">
        <v>0.214285714285714</v>
      </c>
      <c r="D32">
        <v>0.378571428571429</v>
      </c>
      <c r="E32">
        <v>0.16428571428571401</v>
      </c>
      <c r="F32">
        <v>0.64285714285714302</v>
      </c>
      <c r="G32">
        <v>0.9375</v>
      </c>
      <c r="H32">
        <v>0.588007042570177</v>
      </c>
      <c r="I32" s="2">
        <f t="shared" si="0"/>
        <v>0.60954845377553446</v>
      </c>
      <c r="J32" s="2">
        <f t="shared" si="1"/>
        <v>2.1541411205357464E-2</v>
      </c>
    </row>
    <row r="33" spans="1:10" x14ac:dyDescent="0.3">
      <c r="A33">
        <v>0.34186098845408902</v>
      </c>
      <c r="B33">
        <v>0.17777777777777801</v>
      </c>
      <c r="C33">
        <v>0.54285714285714304</v>
      </c>
      <c r="D33">
        <v>0.70714285714285696</v>
      </c>
      <c r="E33">
        <v>0.16428571428571401</v>
      </c>
      <c r="F33">
        <v>0.64285714285714302</v>
      </c>
      <c r="G33">
        <v>0.9375</v>
      </c>
      <c r="H33">
        <v>0.60698218585200303</v>
      </c>
      <c r="I33" s="2">
        <f t="shared" si="0"/>
        <v>0.60954845377553446</v>
      </c>
      <c r="J33" s="2">
        <f t="shared" si="1"/>
        <v>2.566267923531429E-3</v>
      </c>
    </row>
    <row r="34" spans="1:10" x14ac:dyDescent="0.3">
      <c r="A34">
        <v>0.48626604750336599</v>
      </c>
      <c r="B34">
        <v>0.17777777777777801</v>
      </c>
      <c r="C34">
        <v>0.23571428571428599</v>
      </c>
      <c r="D34">
        <v>0.4</v>
      </c>
      <c r="E34">
        <v>0.16428571428571401</v>
      </c>
      <c r="F34">
        <v>0.64285714285714302</v>
      </c>
      <c r="G34">
        <v>0.9375</v>
      </c>
      <c r="H34">
        <v>0.63223151195482596</v>
      </c>
      <c r="I34" s="2">
        <f t="shared" si="0"/>
        <v>0.58350191536303053</v>
      </c>
      <c r="J34" s="2">
        <f t="shared" si="1"/>
        <v>-4.8729596591795432E-2</v>
      </c>
    </row>
    <row r="35" spans="1:10" x14ac:dyDescent="0.3">
      <c r="A35">
        <v>0.48626604750336599</v>
      </c>
      <c r="B35">
        <v>0.17777777777777801</v>
      </c>
      <c r="C35">
        <v>7.0921985815602898E-2</v>
      </c>
      <c r="D35">
        <v>0.23404255319148901</v>
      </c>
      <c r="E35">
        <v>0.16312056737588701</v>
      </c>
      <c r="F35">
        <v>0.63829787234042601</v>
      </c>
      <c r="G35">
        <v>0.9375</v>
      </c>
      <c r="H35">
        <v>0.64165592835334395</v>
      </c>
      <c r="I35" s="2">
        <f t="shared" si="0"/>
        <v>0.57420584545750408</v>
      </c>
      <c r="J35" s="2">
        <f t="shared" si="1"/>
        <v>-6.7450082895839869E-2</v>
      </c>
    </row>
    <row r="36" spans="1:10" x14ac:dyDescent="0.3">
      <c r="A36">
        <v>0.31078053142483802</v>
      </c>
      <c r="B36">
        <v>0.33108108108108097</v>
      </c>
      <c r="C36">
        <v>0.42</v>
      </c>
      <c r="D36">
        <v>0.92</v>
      </c>
      <c r="E36">
        <v>0.5</v>
      </c>
      <c r="F36">
        <v>1.48</v>
      </c>
      <c r="G36">
        <v>1.03061224489796</v>
      </c>
      <c r="H36">
        <v>0.72719960267380601</v>
      </c>
      <c r="I36" s="2">
        <f t="shared" si="0"/>
        <v>0.87576017716030663</v>
      </c>
      <c r="J36" s="2">
        <f t="shared" si="1"/>
        <v>0.14856057448650062</v>
      </c>
    </row>
    <row r="37" spans="1:10" x14ac:dyDescent="0.3">
      <c r="A37">
        <v>0.31078053142483802</v>
      </c>
      <c r="B37">
        <v>0.33108108108108097</v>
      </c>
      <c r="C37">
        <v>0.08</v>
      </c>
      <c r="D37">
        <v>0.57999999999999996</v>
      </c>
      <c r="E37">
        <v>0.5</v>
      </c>
      <c r="F37">
        <v>1.48</v>
      </c>
      <c r="G37">
        <v>1.03061224489796</v>
      </c>
      <c r="H37">
        <v>1.04469510473654</v>
      </c>
      <c r="I37" s="2">
        <f t="shared" si="0"/>
        <v>0.87576017716030663</v>
      </c>
      <c r="J37" s="2">
        <f t="shared" si="1"/>
        <v>-0.16893492757623341</v>
      </c>
    </row>
    <row r="38" spans="1:10" x14ac:dyDescent="0.3">
      <c r="A38">
        <v>0.31078053142483802</v>
      </c>
      <c r="B38">
        <v>0.33108108108108097</v>
      </c>
      <c r="C38">
        <v>0.88</v>
      </c>
      <c r="D38">
        <v>0.89</v>
      </c>
      <c r="E38">
        <v>0.01</v>
      </c>
      <c r="F38">
        <v>1.48</v>
      </c>
      <c r="G38">
        <v>1.03061224489796</v>
      </c>
      <c r="H38">
        <v>1.00195109049916</v>
      </c>
      <c r="I38" s="2">
        <f t="shared" si="0"/>
        <v>0.87576017716030663</v>
      </c>
      <c r="J38" s="2">
        <f t="shared" si="1"/>
        <v>-0.12619091333885335</v>
      </c>
    </row>
    <row r="39" spans="1:10" x14ac:dyDescent="0.3">
      <c r="A39">
        <v>0.31078053142483802</v>
      </c>
      <c r="B39">
        <v>0.33108108108108097</v>
      </c>
      <c r="C39">
        <v>0.59</v>
      </c>
      <c r="D39">
        <v>0.6</v>
      </c>
      <c r="E39">
        <v>0.01</v>
      </c>
      <c r="F39">
        <v>1.48</v>
      </c>
      <c r="G39">
        <v>1.03061224489796</v>
      </c>
      <c r="H39">
        <v>0.94050626435955198</v>
      </c>
      <c r="I39" s="2">
        <f t="shared" si="0"/>
        <v>0.87576017716030663</v>
      </c>
      <c r="J39" s="2">
        <f t="shared" si="1"/>
        <v>-6.474608719924535E-2</v>
      </c>
    </row>
    <row r="40" spans="1:10" x14ac:dyDescent="0.3">
      <c r="A40">
        <v>0.31078053142483802</v>
      </c>
      <c r="B40">
        <v>0.33108108108108097</v>
      </c>
      <c r="C40">
        <v>0.23</v>
      </c>
      <c r="D40">
        <v>0.24</v>
      </c>
      <c r="E40">
        <v>0.01</v>
      </c>
      <c r="F40">
        <v>1.48</v>
      </c>
      <c r="G40">
        <v>1.03061224489796</v>
      </c>
      <c r="H40">
        <v>0.77631983410378402</v>
      </c>
      <c r="I40" s="2">
        <f t="shared" si="0"/>
        <v>0.87576017716030663</v>
      </c>
      <c r="J40" s="2">
        <f t="shared" si="1"/>
        <v>9.9440343056522607E-2</v>
      </c>
    </row>
    <row r="41" spans="1:10" x14ac:dyDescent="0.3">
      <c r="A41">
        <v>0.31078053142483802</v>
      </c>
      <c r="B41">
        <v>0.33108108108108097</v>
      </c>
      <c r="C41">
        <v>0</v>
      </c>
      <c r="D41">
        <v>0.01</v>
      </c>
      <c r="E41">
        <v>0.01</v>
      </c>
      <c r="F41">
        <v>1.48</v>
      </c>
      <c r="G41">
        <v>1.03061224489796</v>
      </c>
      <c r="H41">
        <v>0.69415607504849797</v>
      </c>
      <c r="I41" s="2">
        <f t="shared" si="0"/>
        <v>0.87576017716030663</v>
      </c>
      <c r="J41" s="2">
        <f t="shared" si="1"/>
        <v>0.18160410211180866</v>
      </c>
    </row>
    <row r="42" spans="1:10" x14ac:dyDescent="0.3">
      <c r="A42">
        <v>0.31078053142483802</v>
      </c>
      <c r="B42">
        <v>0.33108108108108097</v>
      </c>
      <c r="C42">
        <v>0.35</v>
      </c>
      <c r="D42">
        <v>0.36</v>
      </c>
      <c r="E42">
        <v>0.01</v>
      </c>
      <c r="F42">
        <v>1.48</v>
      </c>
      <c r="G42">
        <v>1.03061224489796</v>
      </c>
      <c r="H42">
        <v>0.87149449870643203</v>
      </c>
      <c r="I42" s="2">
        <f t="shared" si="0"/>
        <v>0.87576017716030663</v>
      </c>
      <c r="J42" s="2">
        <f t="shared" si="1"/>
        <v>4.2656784538745995E-3</v>
      </c>
    </row>
    <row r="43" spans="1:10" x14ac:dyDescent="0.3">
      <c r="A43">
        <v>0.49041819659053498</v>
      </c>
      <c r="B43">
        <v>0.8</v>
      </c>
      <c r="C43">
        <v>0.22500000000000001</v>
      </c>
      <c r="D43">
        <v>0.35</v>
      </c>
      <c r="E43">
        <v>0.125</v>
      </c>
      <c r="F43">
        <v>0.83333333333333304</v>
      </c>
      <c r="G43">
        <v>0.125</v>
      </c>
      <c r="H43">
        <v>0.63429995470640599</v>
      </c>
      <c r="I43" s="2">
        <f t="shared" si="0"/>
        <v>0.7053489790679448</v>
      </c>
      <c r="J43" s="2">
        <f t="shared" si="1"/>
        <v>7.1049024361538815E-2</v>
      </c>
    </row>
    <row r="44" spans="1:10" x14ac:dyDescent="0.3">
      <c r="A44">
        <v>0.50722133043161599</v>
      </c>
      <c r="B44">
        <v>0.73333333333333295</v>
      </c>
      <c r="C44">
        <v>0.3</v>
      </c>
      <c r="D44">
        <v>0.42499999999999999</v>
      </c>
      <c r="E44">
        <v>0.125</v>
      </c>
      <c r="F44">
        <v>0.625</v>
      </c>
      <c r="G44">
        <v>0.18181818181818199</v>
      </c>
      <c r="H44">
        <v>0.617034157334441</v>
      </c>
      <c r="I44" s="2">
        <f t="shared" si="0"/>
        <v>0.61192992046734784</v>
      </c>
      <c r="J44" s="2">
        <f t="shared" si="1"/>
        <v>-5.1042368670931593E-3</v>
      </c>
    </row>
    <row r="45" spans="1:10" x14ac:dyDescent="0.3">
      <c r="A45">
        <v>0.50722133043161599</v>
      </c>
      <c r="B45">
        <v>0.73333333333333295</v>
      </c>
      <c r="C45">
        <v>0.54583333333333295</v>
      </c>
      <c r="D45">
        <v>0.67083333333333295</v>
      </c>
      <c r="E45">
        <v>0.125</v>
      </c>
      <c r="F45">
        <v>0.625</v>
      </c>
      <c r="G45">
        <v>0.18181818181818199</v>
      </c>
      <c r="H45">
        <v>0.640259127532672</v>
      </c>
      <c r="I45" s="2">
        <f t="shared" si="0"/>
        <v>0.61192992046734784</v>
      </c>
      <c r="J45" s="2">
        <f t="shared" si="1"/>
        <v>-2.8329207065324158E-2</v>
      </c>
    </row>
    <row r="46" spans="1:10" x14ac:dyDescent="0.3">
      <c r="A46">
        <v>0.27511404478700902</v>
      </c>
      <c r="B46">
        <v>0.37853107344632803</v>
      </c>
      <c r="C46">
        <v>0.21666666666666701</v>
      </c>
      <c r="D46">
        <v>0.67916666666666703</v>
      </c>
      <c r="E46">
        <v>0.46250000000000002</v>
      </c>
      <c r="F46">
        <v>0.73750000000000004</v>
      </c>
      <c r="G46">
        <v>1.4029850746268699</v>
      </c>
      <c r="H46">
        <v>0.821356653392883</v>
      </c>
      <c r="I46" s="2">
        <f t="shared" si="0"/>
        <v>0.83168033116356965</v>
      </c>
      <c r="J46" s="2">
        <f t="shared" si="1"/>
        <v>1.0323677770686657E-2</v>
      </c>
    </row>
    <row r="47" spans="1:10" x14ac:dyDescent="0.3">
      <c r="A47">
        <v>0.27511404478700902</v>
      </c>
      <c r="B47">
        <v>0.37853107344632803</v>
      </c>
      <c r="C47">
        <v>0.329166666666667</v>
      </c>
      <c r="D47">
        <v>0.79166666666666696</v>
      </c>
      <c r="E47">
        <v>0.46250000000000002</v>
      </c>
      <c r="F47">
        <v>0.73750000000000004</v>
      </c>
      <c r="G47">
        <v>1.4029850746268699</v>
      </c>
      <c r="H47">
        <v>0.648754761820315</v>
      </c>
      <c r="I47" s="2">
        <f t="shared" si="0"/>
        <v>0.83168033116356965</v>
      </c>
      <c r="J47" s="2">
        <f t="shared" si="1"/>
        <v>0.18292556934325466</v>
      </c>
    </row>
    <row r="48" spans="1:10" x14ac:dyDescent="0.3">
      <c r="A48">
        <v>0.116617219019459</v>
      </c>
      <c r="B48">
        <v>0.38961038961039002</v>
      </c>
      <c r="C48">
        <v>6.25E-2</v>
      </c>
      <c r="D48">
        <v>0.20833333333333301</v>
      </c>
      <c r="E48">
        <v>0.14583333333333301</v>
      </c>
      <c r="F48">
        <v>0.32083333333333303</v>
      </c>
      <c r="G48">
        <v>0.86666666666666703</v>
      </c>
      <c r="H48">
        <v>0.69803288671546504</v>
      </c>
      <c r="I48" s="2">
        <f t="shared" si="0"/>
        <v>0.77669518406410287</v>
      </c>
      <c r="J48" s="2">
        <f t="shared" si="1"/>
        <v>7.8662297348637833E-2</v>
      </c>
    </row>
    <row r="49" spans="1:10" x14ac:dyDescent="0.3">
      <c r="A49">
        <v>0.116617219019459</v>
      </c>
      <c r="B49">
        <v>0.38961038961039002</v>
      </c>
      <c r="C49">
        <v>0.27083333333333298</v>
      </c>
      <c r="D49">
        <v>0.41666666666666702</v>
      </c>
      <c r="E49">
        <v>0.14583333333333301</v>
      </c>
      <c r="F49">
        <v>0.32083333333333303</v>
      </c>
      <c r="G49">
        <v>0.86666666666666703</v>
      </c>
      <c r="H49">
        <v>0.92559131813139395</v>
      </c>
      <c r="I49" s="2">
        <f t="shared" si="0"/>
        <v>0.77669518406410287</v>
      </c>
      <c r="J49" s="2">
        <f t="shared" si="1"/>
        <v>-0.14889613406729107</v>
      </c>
    </row>
    <row r="50" spans="1:10" x14ac:dyDescent="0.3">
      <c r="A50">
        <v>0.116617219019459</v>
      </c>
      <c r="B50">
        <v>0.38961038961039002</v>
      </c>
      <c r="C50">
        <v>0.47916666666666702</v>
      </c>
      <c r="D50">
        <v>0.625</v>
      </c>
      <c r="E50">
        <v>0.14583333333333301</v>
      </c>
      <c r="F50">
        <v>0.32083333333333303</v>
      </c>
      <c r="G50">
        <v>0.86666666666666703</v>
      </c>
      <c r="H50">
        <v>0.88764146904480601</v>
      </c>
      <c r="I50" s="2">
        <f t="shared" si="0"/>
        <v>0.77669518406410287</v>
      </c>
      <c r="J50" s="2">
        <f t="shared" si="1"/>
        <v>-0.11094628498070314</v>
      </c>
    </row>
    <row r="51" spans="1:10" x14ac:dyDescent="0.3">
      <c r="A51">
        <v>0.44939146609105401</v>
      </c>
      <c r="B51">
        <v>0.48780487804877998</v>
      </c>
      <c r="C51">
        <v>0.22500000000000001</v>
      </c>
      <c r="D51">
        <v>0.53333333333333299</v>
      </c>
      <c r="E51">
        <v>0.30833333333333302</v>
      </c>
      <c r="F51">
        <v>0.51249999999999996</v>
      </c>
      <c r="G51">
        <v>1.8333333333333299</v>
      </c>
      <c r="H51">
        <v>0.77612689784115596</v>
      </c>
      <c r="I51" s="2">
        <f t="shared" si="0"/>
        <v>0.69135556576954238</v>
      </c>
      <c r="J51" s="2">
        <f t="shared" si="1"/>
        <v>-8.4771332071613581E-2</v>
      </c>
    </row>
    <row r="52" spans="1:10" x14ac:dyDescent="0.3">
      <c r="A52">
        <v>0.44939146609105401</v>
      </c>
      <c r="B52">
        <v>0.48780487804877998</v>
      </c>
      <c r="C52">
        <v>0.32500000000000001</v>
      </c>
      <c r="D52">
        <v>0.63333333333333297</v>
      </c>
      <c r="E52">
        <v>0.30833333333333302</v>
      </c>
      <c r="F52">
        <v>0.51249999999999996</v>
      </c>
      <c r="G52">
        <v>1.8333333333333299</v>
      </c>
      <c r="H52">
        <v>0.80746801464750095</v>
      </c>
      <c r="I52" s="2">
        <f t="shared" si="0"/>
        <v>0.69135556576954238</v>
      </c>
      <c r="J52" s="2">
        <f t="shared" si="1"/>
        <v>-0.11611244887795857</v>
      </c>
    </row>
    <row r="53" spans="1:10" x14ac:dyDescent="0.3">
      <c r="A53">
        <v>0.44939146609105401</v>
      </c>
      <c r="B53">
        <v>0.48780487804877998</v>
      </c>
      <c r="C53">
        <v>0.58333333333333304</v>
      </c>
      <c r="D53">
        <v>0.89166666666666705</v>
      </c>
      <c r="E53">
        <v>0.30833333333333302</v>
      </c>
      <c r="F53">
        <v>0.51249999999999996</v>
      </c>
      <c r="G53">
        <v>1.8333333333333299</v>
      </c>
      <c r="H53">
        <v>0.64150880837753099</v>
      </c>
      <c r="I53" s="2">
        <f t="shared" si="0"/>
        <v>0.69135556576954238</v>
      </c>
      <c r="J53" s="2">
        <f t="shared" si="1"/>
        <v>4.9846757392011387E-2</v>
      </c>
    </row>
    <row r="54" spans="1:10" x14ac:dyDescent="0.3">
      <c r="A54">
        <v>0.44558618529625499</v>
      </c>
      <c r="B54">
        <v>0.7</v>
      </c>
      <c r="C54">
        <v>0.215</v>
      </c>
      <c r="D54">
        <v>0.66500000000000004</v>
      </c>
      <c r="E54">
        <v>0.45</v>
      </c>
      <c r="F54">
        <v>1</v>
      </c>
      <c r="G54">
        <v>0.214285714285714</v>
      </c>
      <c r="H54">
        <v>0.79188470459453997</v>
      </c>
      <c r="I54" s="2">
        <f t="shared" si="0"/>
        <v>0.72275693832931143</v>
      </c>
      <c r="J54" s="2">
        <f t="shared" si="1"/>
        <v>-6.9127766265228541E-2</v>
      </c>
    </row>
    <row r="55" spans="1:10" x14ac:dyDescent="0.3">
      <c r="A55">
        <v>0.44558618529625499</v>
      </c>
      <c r="B55">
        <v>0.55000000000000004</v>
      </c>
      <c r="C55">
        <v>6.5000000000000099E-2</v>
      </c>
      <c r="D55">
        <v>0.66500000000000004</v>
      </c>
      <c r="E55">
        <v>0.6</v>
      </c>
      <c r="F55">
        <v>1</v>
      </c>
      <c r="G55">
        <v>0.40909090909090901</v>
      </c>
      <c r="H55">
        <v>0.75347600697172201</v>
      </c>
      <c r="I55" s="2">
        <f t="shared" si="0"/>
        <v>0.73097734825701366</v>
      </c>
      <c r="J55" s="2">
        <f t="shared" si="1"/>
        <v>-2.2498658714708353E-2</v>
      </c>
    </row>
    <row r="56" spans="1:10" x14ac:dyDescent="0.3">
      <c r="A56">
        <v>0.44558618529625499</v>
      </c>
      <c r="B56">
        <v>0.55000000000000004</v>
      </c>
      <c r="C56">
        <v>0.215</v>
      </c>
      <c r="D56">
        <v>0.66500000000000004</v>
      </c>
      <c r="E56">
        <v>0.45</v>
      </c>
      <c r="F56">
        <v>1</v>
      </c>
      <c r="G56">
        <v>0.40909090909090901</v>
      </c>
      <c r="H56">
        <v>0.73358032773200799</v>
      </c>
      <c r="I56" s="2">
        <f t="shared" si="0"/>
        <v>0.73097734825701366</v>
      </c>
      <c r="J56" s="2">
        <f t="shared" si="1"/>
        <v>-2.6029794749943269E-3</v>
      </c>
    </row>
    <row r="57" spans="1:10" x14ac:dyDescent="0.3">
      <c r="A57">
        <v>0.44558618529625499</v>
      </c>
      <c r="B57">
        <v>0.55000000000000004</v>
      </c>
      <c r="C57">
        <v>0.36499999999999999</v>
      </c>
      <c r="D57">
        <v>0.66500000000000004</v>
      </c>
      <c r="E57">
        <v>0.3</v>
      </c>
      <c r="F57">
        <v>1</v>
      </c>
      <c r="G57">
        <v>0.40909090909090901</v>
      </c>
      <c r="H57">
        <v>0.66589835072663695</v>
      </c>
      <c r="I57" s="2">
        <f t="shared" si="0"/>
        <v>0.73097734825701366</v>
      </c>
      <c r="J57" s="2">
        <f t="shared" si="1"/>
        <v>6.5078997530376714E-2</v>
      </c>
    </row>
    <row r="58" spans="1:10" x14ac:dyDescent="0.3">
      <c r="A58">
        <v>0.44558618529625499</v>
      </c>
      <c r="B58">
        <v>0.55000000000000004</v>
      </c>
      <c r="C58">
        <v>3.5000000000000003E-2</v>
      </c>
      <c r="D58">
        <v>0.33500000000000002</v>
      </c>
      <c r="E58">
        <v>0.3</v>
      </c>
      <c r="F58">
        <v>1</v>
      </c>
      <c r="G58">
        <v>0.40909090909090901</v>
      </c>
      <c r="H58">
        <v>0.61289218816551005</v>
      </c>
      <c r="I58" s="2">
        <f t="shared" si="0"/>
        <v>0.73097734825701366</v>
      </c>
      <c r="J58" s="2">
        <f t="shared" si="1"/>
        <v>0.1180851600915036</v>
      </c>
    </row>
    <row r="59" spans="1:10" x14ac:dyDescent="0.3">
      <c r="A59">
        <v>0.51712291666666699</v>
      </c>
      <c r="B59">
        <v>0.74166666666666703</v>
      </c>
      <c r="C59">
        <v>0.344444444444444</v>
      </c>
      <c r="D59">
        <v>0.66666666666666696</v>
      </c>
      <c r="E59">
        <v>0.32222222222222202</v>
      </c>
      <c r="F59">
        <v>0.66666666666666696</v>
      </c>
      <c r="G59">
        <v>0.16853932584269599</v>
      </c>
      <c r="H59">
        <v>0.89801895317123104</v>
      </c>
      <c r="I59" s="2">
        <f t="shared" si="0"/>
        <v>0.97696952974193263</v>
      </c>
      <c r="J59" s="2">
        <f t="shared" si="1"/>
        <v>7.8950576570701592E-2</v>
      </c>
    </row>
    <row r="60" spans="1:10" x14ac:dyDescent="0.3">
      <c r="A60">
        <v>0.51712291666666699</v>
      </c>
      <c r="B60">
        <v>0.74166666666666703</v>
      </c>
      <c r="C60">
        <v>0</v>
      </c>
      <c r="D60">
        <v>0.32222222222222202</v>
      </c>
      <c r="E60">
        <v>0.32222222222222202</v>
      </c>
      <c r="F60">
        <v>0.66666666666666696</v>
      </c>
      <c r="G60">
        <v>0.16853932584269599</v>
      </c>
      <c r="H60">
        <v>1.1638179683174801</v>
      </c>
      <c r="I60" s="2">
        <f t="shared" si="0"/>
        <v>0.97696952974193263</v>
      </c>
      <c r="J60" s="2">
        <f t="shared" si="1"/>
        <v>-0.18684843857554745</v>
      </c>
    </row>
    <row r="61" spans="1:10" x14ac:dyDescent="0.3">
      <c r="A61">
        <v>0.44558618529625499</v>
      </c>
      <c r="B61">
        <v>0.4</v>
      </c>
      <c r="C61">
        <v>0.22</v>
      </c>
      <c r="D61">
        <v>0.67</v>
      </c>
      <c r="E61">
        <v>0.45</v>
      </c>
      <c r="F61">
        <v>1</v>
      </c>
      <c r="G61">
        <v>0.75</v>
      </c>
      <c r="H61">
        <v>0.69712231598185104</v>
      </c>
      <c r="I61" s="2">
        <f t="shared" si="0"/>
        <v>0.69429981366694582</v>
      </c>
      <c r="J61" s="2">
        <f t="shared" si="1"/>
        <v>-2.8225023149052175E-3</v>
      </c>
    </row>
    <row r="62" spans="1:10" x14ac:dyDescent="0.3">
      <c r="A62">
        <v>0.31078053142483802</v>
      </c>
      <c r="B62">
        <v>0.33108108108108097</v>
      </c>
      <c r="C62">
        <v>0.66</v>
      </c>
      <c r="D62">
        <v>0.91</v>
      </c>
      <c r="E62">
        <v>0.25</v>
      </c>
      <c r="F62">
        <v>1.48</v>
      </c>
      <c r="G62">
        <v>1.0204081632653099</v>
      </c>
      <c r="H62">
        <v>1.00359045730647</v>
      </c>
      <c r="I62" s="2">
        <f t="shared" si="0"/>
        <v>0.87481472455700049</v>
      </c>
      <c r="J62" s="2">
        <f t="shared" si="1"/>
        <v>-0.12877573274946952</v>
      </c>
    </row>
    <row r="63" spans="1:10" x14ac:dyDescent="0.3">
      <c r="A63">
        <v>0.31078053142483802</v>
      </c>
      <c r="B63">
        <v>0.33108108108108097</v>
      </c>
      <c r="C63">
        <v>0.33</v>
      </c>
      <c r="D63">
        <v>0.57999999999999996</v>
      </c>
      <c r="E63">
        <v>0.25</v>
      </c>
      <c r="F63">
        <v>1.48</v>
      </c>
      <c r="G63">
        <v>1.0204081632653099</v>
      </c>
      <c r="H63">
        <v>0.92118520714853402</v>
      </c>
      <c r="I63" s="2">
        <f t="shared" si="0"/>
        <v>0.87481472455700049</v>
      </c>
      <c r="J63" s="2">
        <f t="shared" si="1"/>
        <v>-4.6370482591533535E-2</v>
      </c>
    </row>
    <row r="64" spans="1:10" x14ac:dyDescent="0.3">
      <c r="A64">
        <v>0.31078053142483802</v>
      </c>
      <c r="B64">
        <v>0.33108108108108097</v>
      </c>
      <c r="C64">
        <v>0.08</v>
      </c>
      <c r="D64">
        <v>0.33</v>
      </c>
      <c r="E64">
        <v>0.25</v>
      </c>
      <c r="F64">
        <v>1.48</v>
      </c>
      <c r="G64">
        <v>1.0204081632653099</v>
      </c>
      <c r="H64">
        <v>1.0299223281261201</v>
      </c>
      <c r="I64" s="2">
        <f t="shared" si="0"/>
        <v>0.87481472455700049</v>
      </c>
      <c r="J64" s="2">
        <f t="shared" si="1"/>
        <v>-0.15510760356911957</v>
      </c>
    </row>
    <row r="65" spans="1:10" x14ac:dyDescent="0.3">
      <c r="A65">
        <v>0.27245455366140803</v>
      </c>
      <c r="B65">
        <v>0.5</v>
      </c>
      <c r="C65">
        <v>0.172924901185771</v>
      </c>
      <c r="D65">
        <v>0.56818181818181801</v>
      </c>
      <c r="E65">
        <v>0.39525691699604698</v>
      </c>
      <c r="F65">
        <v>1.1857707509881401</v>
      </c>
      <c r="G65">
        <v>0.5</v>
      </c>
      <c r="H65">
        <v>0.35048085359640202</v>
      </c>
      <c r="I65" s="2">
        <f t="shared" si="0"/>
        <v>0.40593892427573808</v>
      </c>
      <c r="J65" s="2">
        <f t="shared" si="1"/>
        <v>5.5458070679336058E-2</v>
      </c>
    </row>
    <row r="66" spans="1:10" x14ac:dyDescent="0.3">
      <c r="A66">
        <v>0.27245455366140803</v>
      </c>
      <c r="B66">
        <v>0.5</v>
      </c>
      <c r="C66">
        <v>0.17379679144384999</v>
      </c>
      <c r="D66">
        <v>0.53030303030303005</v>
      </c>
      <c r="E66">
        <v>0.35650623885917998</v>
      </c>
      <c r="F66">
        <v>1.0695187165775399</v>
      </c>
      <c r="G66">
        <v>0.5</v>
      </c>
      <c r="H66">
        <v>0.44010371817476801</v>
      </c>
      <c r="I66" s="2">
        <f t="shared" si="0"/>
        <v>0.42564696484674275</v>
      </c>
      <c r="J66" s="2">
        <f t="shared" si="1"/>
        <v>-1.4456753328025262E-2</v>
      </c>
    </row>
    <row r="67" spans="1:10" x14ac:dyDescent="0.3">
      <c r="A67">
        <v>0.27245455366140803</v>
      </c>
      <c r="B67">
        <v>0.5</v>
      </c>
      <c r="C67">
        <v>0.13800000000000001</v>
      </c>
      <c r="D67">
        <v>0.33800000000000002</v>
      </c>
      <c r="E67">
        <v>0.2</v>
      </c>
      <c r="F67">
        <v>0.6</v>
      </c>
      <c r="G67">
        <v>0.5</v>
      </c>
      <c r="H67">
        <v>0.44006423217200102</v>
      </c>
      <c r="I67" s="2">
        <f t="shared" si="0"/>
        <v>0.44047163882901536</v>
      </c>
      <c r="J67" s="2">
        <f t="shared" si="1"/>
        <v>4.0740665701433088E-4</v>
      </c>
    </row>
    <row r="68" spans="1:10" x14ac:dyDescent="0.3">
      <c r="A68">
        <v>0.27245455366140803</v>
      </c>
      <c r="B68">
        <v>0.5</v>
      </c>
      <c r="C68">
        <v>0.16</v>
      </c>
      <c r="D68">
        <v>0.36</v>
      </c>
      <c r="E68">
        <v>0.2</v>
      </c>
      <c r="F68">
        <v>0.6</v>
      </c>
      <c r="G68">
        <v>0.5</v>
      </c>
      <c r="H68">
        <v>0.48355536899330798</v>
      </c>
      <c r="I68" s="2">
        <f t="shared" si="0"/>
        <v>0.44047163882901536</v>
      </c>
      <c r="J68" s="2">
        <f t="shared" si="1"/>
        <v>-4.3083730164292622E-2</v>
      </c>
    </row>
    <row r="69" spans="1:10" x14ac:dyDescent="0.3">
      <c r="A69">
        <v>0.27245455366140803</v>
      </c>
      <c r="B69">
        <v>0.5</v>
      </c>
      <c r="C69">
        <v>0.25624999999999998</v>
      </c>
      <c r="D69">
        <v>0.50624999999999998</v>
      </c>
      <c r="E69">
        <v>0.25</v>
      </c>
      <c r="F69">
        <v>0.75</v>
      </c>
      <c r="G69">
        <v>0.5</v>
      </c>
      <c r="H69">
        <v>0.43933344375646299</v>
      </c>
      <c r="I69" s="2">
        <f t="shared" ref="I69:I105" si="2">case3_(A69,B69,C69,D69,E69,F69,G69)</f>
        <v>0.43901346162470861</v>
      </c>
      <c r="J69" s="2">
        <f t="shared" ref="J69:J105" si="3">I69-H69</f>
        <v>-3.1998213175438162E-4</v>
      </c>
    </row>
    <row r="70" spans="1:10" x14ac:dyDescent="0.3">
      <c r="A70">
        <v>0.26022155053158802</v>
      </c>
      <c r="B70">
        <v>0.52631578947368396</v>
      </c>
      <c r="C70">
        <v>0.45088601662069799</v>
      </c>
      <c r="D70">
        <v>0.69331025904494104</v>
      </c>
      <c r="E70">
        <v>0.24242424242424199</v>
      </c>
      <c r="F70">
        <v>0.57575757575757602</v>
      </c>
      <c r="G70">
        <v>0.4</v>
      </c>
      <c r="H70">
        <v>0.82751798372088203</v>
      </c>
      <c r="I70" s="2">
        <f t="shared" si="2"/>
        <v>0.76903986762008325</v>
      </c>
      <c r="J70" s="2">
        <f t="shared" si="3"/>
        <v>-5.8478116100798783E-2</v>
      </c>
    </row>
    <row r="71" spans="1:10" x14ac:dyDescent="0.3">
      <c r="A71">
        <v>0.26022155053158802</v>
      </c>
      <c r="B71">
        <v>0.52631578947368396</v>
      </c>
      <c r="C71">
        <v>0.225551169037189</v>
      </c>
      <c r="D71">
        <v>0.46797541146143201</v>
      </c>
      <c r="E71">
        <v>0.24242424242424199</v>
      </c>
      <c r="F71">
        <v>0.57575757575757602</v>
      </c>
      <c r="G71">
        <v>0.4</v>
      </c>
      <c r="H71">
        <v>0.80326091823749701</v>
      </c>
      <c r="I71" s="2">
        <f t="shared" si="2"/>
        <v>0.76903986762008325</v>
      </c>
      <c r="J71" s="2">
        <f t="shared" si="3"/>
        <v>-3.4221050617413762E-2</v>
      </c>
    </row>
    <row r="72" spans="1:10" x14ac:dyDescent="0.3">
      <c r="A72">
        <v>0.26022155053158802</v>
      </c>
      <c r="B72">
        <v>0.52631578947368396</v>
      </c>
      <c r="C72">
        <v>7.2323472680402998E-2</v>
      </c>
      <c r="D72">
        <v>0.314747715104645</v>
      </c>
      <c r="E72">
        <v>0.24242424242424199</v>
      </c>
      <c r="F72">
        <v>0.57575757575757602</v>
      </c>
      <c r="G72">
        <v>0.4</v>
      </c>
      <c r="H72">
        <v>0.84579597774092996</v>
      </c>
      <c r="I72" s="2">
        <f t="shared" si="2"/>
        <v>0.76903986762008325</v>
      </c>
      <c r="J72" s="2">
        <f t="shared" si="3"/>
        <v>-7.675611012084671E-2</v>
      </c>
    </row>
    <row r="73" spans="1:10" x14ac:dyDescent="0.3">
      <c r="A73">
        <v>0.35265771076355301</v>
      </c>
      <c r="B73">
        <v>0.25</v>
      </c>
      <c r="C73">
        <v>0.45134281200631898</v>
      </c>
      <c r="D73">
        <v>0.55134281200631896</v>
      </c>
      <c r="E73">
        <v>0.1</v>
      </c>
      <c r="F73">
        <v>0.2</v>
      </c>
      <c r="G73">
        <v>0</v>
      </c>
      <c r="H73">
        <v>0.96785090770490101</v>
      </c>
      <c r="I73" s="2">
        <f t="shared" si="2"/>
        <v>0.72906895071337885</v>
      </c>
      <c r="J73" s="2">
        <f t="shared" si="3"/>
        <v>-0.23878195699152216</v>
      </c>
    </row>
    <row r="74" spans="1:10" x14ac:dyDescent="0.3">
      <c r="A74">
        <v>0.35265771076355301</v>
      </c>
      <c r="B74">
        <v>0.25</v>
      </c>
      <c r="C74">
        <v>0.105</v>
      </c>
      <c r="D74">
        <v>0.20499999999999999</v>
      </c>
      <c r="E74">
        <v>0.1</v>
      </c>
      <c r="F74">
        <v>0.2</v>
      </c>
      <c r="G74">
        <v>0</v>
      </c>
      <c r="H74">
        <v>0.98099886700272398</v>
      </c>
      <c r="I74" s="2">
        <f t="shared" si="2"/>
        <v>0.72906895071337885</v>
      </c>
      <c r="J74" s="2">
        <f t="shared" si="3"/>
        <v>-0.25192991628934513</v>
      </c>
    </row>
    <row r="75" spans="1:10" x14ac:dyDescent="0.3">
      <c r="A75">
        <v>0.24866889861532601</v>
      </c>
      <c r="B75">
        <v>0.32</v>
      </c>
      <c r="C75">
        <v>0.28999999999999998</v>
      </c>
      <c r="D75">
        <v>0.79</v>
      </c>
      <c r="E75">
        <v>0.5</v>
      </c>
      <c r="F75">
        <v>1.5</v>
      </c>
      <c r="G75">
        <v>1.0625</v>
      </c>
      <c r="H75">
        <v>1.0209450651348799</v>
      </c>
      <c r="I75" s="2">
        <f t="shared" si="2"/>
        <v>0.8579551548440707</v>
      </c>
      <c r="J75" s="2">
        <f t="shared" si="3"/>
        <v>-0.16298991029080923</v>
      </c>
    </row>
    <row r="76" spans="1:10" x14ac:dyDescent="0.3">
      <c r="A76">
        <v>0.24866889861532601</v>
      </c>
      <c r="B76">
        <v>0.32</v>
      </c>
      <c r="C76">
        <v>0.38</v>
      </c>
      <c r="D76">
        <v>0.88</v>
      </c>
      <c r="E76">
        <v>0.5</v>
      </c>
      <c r="F76">
        <v>1.5</v>
      </c>
      <c r="G76">
        <v>1.0625</v>
      </c>
      <c r="H76">
        <v>0.80299814363376099</v>
      </c>
      <c r="I76" s="2">
        <f t="shared" si="2"/>
        <v>0.8579551548440707</v>
      </c>
      <c r="J76" s="2">
        <f t="shared" si="3"/>
        <v>5.4957011210309714E-2</v>
      </c>
    </row>
    <row r="77" spans="1:10" x14ac:dyDescent="0.3">
      <c r="A77">
        <v>0.368816399721904</v>
      </c>
      <c r="B77">
        <v>0.25</v>
      </c>
      <c r="C77">
        <v>0.24</v>
      </c>
      <c r="D77">
        <v>0.48</v>
      </c>
      <c r="E77">
        <v>0.24</v>
      </c>
      <c r="F77">
        <v>0.48</v>
      </c>
      <c r="G77">
        <v>0.86666666666666703</v>
      </c>
      <c r="H77">
        <v>1.07840642004683</v>
      </c>
      <c r="I77" s="2">
        <f t="shared" si="2"/>
        <v>1.1551294107002434</v>
      </c>
      <c r="J77" s="2">
        <f t="shared" si="3"/>
        <v>7.6722990653413481E-2</v>
      </c>
    </row>
    <row r="78" spans="1:10" x14ac:dyDescent="0.3">
      <c r="A78">
        <v>0.368816399721904</v>
      </c>
      <c r="B78">
        <v>0.25</v>
      </c>
      <c r="C78">
        <v>0</v>
      </c>
      <c r="D78">
        <v>0.24</v>
      </c>
      <c r="E78">
        <v>0.24</v>
      </c>
      <c r="F78">
        <v>0.48</v>
      </c>
      <c r="G78">
        <v>0.86666666666666703</v>
      </c>
      <c r="H78">
        <v>1.20687316557003</v>
      </c>
      <c r="I78" s="2">
        <f t="shared" si="2"/>
        <v>1.1551294107002434</v>
      </c>
      <c r="J78" s="2">
        <f t="shared" si="3"/>
        <v>-5.1743754869786551E-2</v>
      </c>
    </row>
    <row r="79" spans="1:10" x14ac:dyDescent="0.3">
      <c r="A79">
        <v>0.6851488</v>
      </c>
      <c r="B79">
        <v>0.6</v>
      </c>
      <c r="C79">
        <v>0.24</v>
      </c>
      <c r="D79">
        <v>0.48</v>
      </c>
      <c r="E79">
        <v>0.24</v>
      </c>
      <c r="F79">
        <v>0.2</v>
      </c>
      <c r="G79">
        <v>0.33333333333333298</v>
      </c>
      <c r="H79">
        <v>1.2053210280345199</v>
      </c>
      <c r="I79" s="2">
        <f t="shared" si="2"/>
        <v>1.3537829405504329</v>
      </c>
      <c r="J79" s="2">
        <f t="shared" si="3"/>
        <v>0.14846191251591301</v>
      </c>
    </row>
    <row r="80" spans="1:10" x14ac:dyDescent="0.3">
      <c r="A80">
        <v>0.26356643991892398</v>
      </c>
      <c r="B80">
        <v>0.532258064516129</v>
      </c>
      <c r="C80">
        <v>0.233644859813084</v>
      </c>
      <c r="D80">
        <v>0.47663551401869197</v>
      </c>
      <c r="E80">
        <v>0.242990654205607</v>
      </c>
      <c r="F80">
        <v>0.579439252336449</v>
      </c>
      <c r="G80">
        <v>0.39393939393939398</v>
      </c>
      <c r="H80">
        <v>0.62715334228800601</v>
      </c>
      <c r="I80" s="2">
        <f t="shared" si="2"/>
        <v>0.76229267774109633</v>
      </c>
      <c r="J80" s="2">
        <f t="shared" si="3"/>
        <v>0.13513933545309031</v>
      </c>
    </row>
    <row r="81" spans="1:11" x14ac:dyDescent="0.3">
      <c r="A81">
        <v>0.26356643991892398</v>
      </c>
      <c r="B81">
        <v>0.532258064516129</v>
      </c>
      <c r="C81">
        <v>7.4766355140186896E-2</v>
      </c>
      <c r="D81">
        <v>0.31775700934579398</v>
      </c>
      <c r="E81">
        <v>0.242990654205607</v>
      </c>
      <c r="F81">
        <v>0.579439252336449</v>
      </c>
      <c r="G81">
        <v>0.39393939393939398</v>
      </c>
      <c r="H81">
        <v>0.84339287035963295</v>
      </c>
      <c r="I81" s="2">
        <f t="shared" si="2"/>
        <v>0.76229267774109633</v>
      </c>
      <c r="J81" s="2">
        <f t="shared" si="3"/>
        <v>-8.1100192618536626E-2</v>
      </c>
    </row>
    <row r="82" spans="1:11" x14ac:dyDescent="0.3">
      <c r="A82">
        <v>0.26356643991892398</v>
      </c>
      <c r="B82">
        <v>0.532258064516129</v>
      </c>
      <c r="C82">
        <v>0.233644859813084</v>
      </c>
      <c r="D82">
        <v>0.47663551401869197</v>
      </c>
      <c r="E82">
        <v>0.242990654205607</v>
      </c>
      <c r="F82">
        <v>0.579439252336449</v>
      </c>
      <c r="G82">
        <v>0.39393939393939398</v>
      </c>
      <c r="H82">
        <v>0.72135774404494701</v>
      </c>
      <c r="I82" s="2">
        <f t="shared" si="2"/>
        <v>0.76229267774109633</v>
      </c>
      <c r="J82" s="2">
        <f t="shared" si="3"/>
        <v>4.0934933696149312E-2</v>
      </c>
    </row>
    <row r="83" spans="1:11" x14ac:dyDescent="0.3">
      <c r="A83">
        <v>0.26356643991892398</v>
      </c>
      <c r="B83">
        <v>0.532258064516129</v>
      </c>
      <c r="C83">
        <v>7.4766355140186896E-2</v>
      </c>
      <c r="D83">
        <v>0.31775700934579398</v>
      </c>
      <c r="E83">
        <v>0.242990654205607</v>
      </c>
      <c r="F83">
        <v>0.579439252336449</v>
      </c>
      <c r="G83">
        <v>0.39393939393939398</v>
      </c>
      <c r="H83">
        <v>0.94994364247319296</v>
      </c>
      <c r="I83" s="2">
        <f t="shared" si="2"/>
        <v>0.76229267774109633</v>
      </c>
      <c r="J83" s="2">
        <f t="shared" si="3"/>
        <v>-0.18765096473209664</v>
      </c>
    </row>
    <row r="84" spans="1:11" x14ac:dyDescent="0.3">
      <c r="A84">
        <v>0.26356643991892398</v>
      </c>
      <c r="B84">
        <v>0.532258064516129</v>
      </c>
      <c r="C84">
        <v>0.44545454545454499</v>
      </c>
      <c r="D84">
        <v>0.68181818181818199</v>
      </c>
      <c r="E84">
        <v>0.236363636363636</v>
      </c>
      <c r="F84">
        <v>0.56363636363636405</v>
      </c>
      <c r="G84">
        <v>0.39393939393939398</v>
      </c>
      <c r="H84">
        <v>0.81574280876459304</v>
      </c>
      <c r="I84" s="2">
        <f t="shared" si="2"/>
        <v>0.76357004741773604</v>
      </c>
      <c r="J84" s="2">
        <f t="shared" si="3"/>
        <v>-5.2172761346857E-2</v>
      </c>
    </row>
    <row r="85" spans="1:11" x14ac:dyDescent="0.3">
      <c r="A85">
        <v>0.26356643991892398</v>
      </c>
      <c r="B85">
        <v>0.532258064516129</v>
      </c>
      <c r="C85">
        <v>0.44954128440367003</v>
      </c>
      <c r="D85">
        <v>0.68807339449541305</v>
      </c>
      <c r="E85">
        <v>0.23853211009174299</v>
      </c>
      <c r="F85">
        <v>0.56880733944954098</v>
      </c>
      <c r="G85">
        <v>0.39393939393939398</v>
      </c>
      <c r="H85">
        <v>0.63385228980708697</v>
      </c>
      <c r="I85" s="2">
        <f t="shared" si="2"/>
        <v>0.76308189019776607</v>
      </c>
      <c r="J85" s="2">
        <f t="shared" si="3"/>
        <v>0.1292296003906791</v>
      </c>
    </row>
    <row r="86" spans="1:11" x14ac:dyDescent="0.3">
      <c r="A86" t="s">
        <v>2</v>
      </c>
      <c r="B86" t="s">
        <v>3</v>
      </c>
      <c r="C86" t="s">
        <v>4</v>
      </c>
      <c r="D86" t="s">
        <v>5</v>
      </c>
      <c r="E86" t="s">
        <v>6</v>
      </c>
      <c r="F86" t="s">
        <v>7</v>
      </c>
      <c r="G86" t="s">
        <v>8</v>
      </c>
      <c r="H86" t="s">
        <v>9</v>
      </c>
      <c r="I86" s="2" t="e">
        <f t="shared" si="2"/>
        <v>#VALUE!</v>
      </c>
      <c r="J86" s="2" t="e">
        <f t="shared" si="3"/>
        <v>#VALUE!</v>
      </c>
      <c r="K86">
        <f>SQRT(SUMSQ(J87:J105)/COUNT(J87:J105))</f>
        <v>0.11521018023744826</v>
      </c>
    </row>
    <row r="87" spans="1:11" x14ac:dyDescent="0.3">
      <c r="A87">
        <v>0.319090064269206</v>
      </c>
      <c r="B87">
        <v>0.24444444444444399</v>
      </c>
      <c r="C87">
        <v>5.00399977144163E-2</v>
      </c>
      <c r="D87">
        <v>0.278598365807668</v>
      </c>
      <c r="E87">
        <v>0.228558368093252</v>
      </c>
      <c r="F87">
        <v>0.64282041026227099</v>
      </c>
      <c r="G87">
        <v>0.68181818181818199</v>
      </c>
      <c r="H87">
        <v>0.54898194011212098</v>
      </c>
      <c r="I87" s="2">
        <f t="shared" si="2"/>
        <v>0.71229944925027477</v>
      </c>
      <c r="J87" s="2">
        <f t="shared" si="3"/>
        <v>0.16331750913815379</v>
      </c>
    </row>
    <row r="88" spans="1:11" x14ac:dyDescent="0.3">
      <c r="A88">
        <v>0.319090064269206</v>
      </c>
      <c r="B88">
        <v>0.24444444444444399</v>
      </c>
      <c r="C88">
        <v>3.29214858090238E-2</v>
      </c>
      <c r="D88">
        <v>0.24345057171804901</v>
      </c>
      <c r="E88">
        <v>0.210529085909025</v>
      </c>
      <c r="F88">
        <v>0.59211305411913295</v>
      </c>
      <c r="G88">
        <v>0.68181818181818199</v>
      </c>
      <c r="H88">
        <v>0.66090120799052499</v>
      </c>
      <c r="I88" s="2">
        <f t="shared" si="2"/>
        <v>0.70996037730149586</v>
      </c>
      <c r="J88" s="2">
        <f t="shared" si="3"/>
        <v>4.9059169310970874E-2</v>
      </c>
    </row>
    <row r="89" spans="1:11" x14ac:dyDescent="0.3">
      <c r="A89">
        <v>0.30376590132493603</v>
      </c>
      <c r="B89">
        <v>0.46666666666666701</v>
      </c>
      <c r="C89">
        <v>0.58115777525539203</v>
      </c>
      <c r="D89">
        <v>0.86492622020431298</v>
      </c>
      <c r="E89">
        <v>0.28376844494892201</v>
      </c>
      <c r="F89">
        <v>0.60807523917626105</v>
      </c>
      <c r="G89">
        <v>0.59523809523809501</v>
      </c>
      <c r="H89">
        <v>0.54297320720291198</v>
      </c>
      <c r="I89" s="2">
        <f t="shared" si="2"/>
        <v>0.70130532207511342</v>
      </c>
      <c r="J89" s="2">
        <f t="shared" si="3"/>
        <v>0.15833211487220145</v>
      </c>
    </row>
    <row r="90" spans="1:11" x14ac:dyDescent="0.3">
      <c r="A90">
        <v>0.33472366352331001</v>
      </c>
      <c r="B90">
        <v>0.17777777777777801</v>
      </c>
      <c r="C90">
        <v>0.26428571428571401</v>
      </c>
      <c r="D90">
        <v>0.42857142857142799</v>
      </c>
      <c r="E90">
        <v>0.16428571428571401</v>
      </c>
      <c r="F90">
        <v>0.64285714285714302</v>
      </c>
      <c r="G90">
        <v>0.9375</v>
      </c>
      <c r="H90">
        <v>0.55062862428114101</v>
      </c>
      <c r="I90" s="2">
        <f t="shared" si="2"/>
        <v>0.60974701412620802</v>
      </c>
      <c r="J90" s="2">
        <f t="shared" si="3"/>
        <v>5.911838984506701E-2</v>
      </c>
    </row>
    <row r="91" spans="1:11" x14ac:dyDescent="0.3">
      <c r="A91">
        <v>0.48699700163245901</v>
      </c>
      <c r="B91">
        <v>0.17777777777777801</v>
      </c>
      <c r="C91">
        <v>0.42857142857142899</v>
      </c>
      <c r="D91">
        <v>0.59285714285714297</v>
      </c>
      <c r="E91">
        <v>0.16428571428571401</v>
      </c>
      <c r="F91">
        <v>0.64285714285714302</v>
      </c>
      <c r="G91">
        <v>0.9375</v>
      </c>
      <c r="H91">
        <v>0.76430814638974998</v>
      </c>
      <c r="I91" s="2">
        <f t="shared" si="2"/>
        <v>0.58264923196437923</v>
      </c>
      <c r="J91" s="2">
        <f t="shared" si="3"/>
        <v>-0.18165891442537074</v>
      </c>
    </row>
    <row r="92" spans="1:11" x14ac:dyDescent="0.3">
      <c r="A92">
        <v>0.48699700163245901</v>
      </c>
      <c r="B92">
        <v>0.17777777777777801</v>
      </c>
      <c r="C92">
        <v>0.47857142857142898</v>
      </c>
      <c r="D92">
        <v>0.64285714285714302</v>
      </c>
      <c r="E92">
        <v>0.16428571428571401</v>
      </c>
      <c r="F92">
        <v>0.64285714285714302</v>
      </c>
      <c r="G92">
        <v>0.9375</v>
      </c>
      <c r="H92">
        <v>0.68680856025108095</v>
      </c>
      <c r="I92" s="2">
        <f t="shared" si="2"/>
        <v>0.58264923196437923</v>
      </c>
      <c r="J92" s="2">
        <f t="shared" si="3"/>
        <v>-0.10415932828670171</v>
      </c>
    </row>
    <row r="93" spans="1:11" x14ac:dyDescent="0.3">
      <c r="A93">
        <v>0.48302343172405598</v>
      </c>
      <c r="B93">
        <v>0.17777777777777801</v>
      </c>
      <c r="C93">
        <v>0.55000000000000004</v>
      </c>
      <c r="D93">
        <v>0.78571428571428603</v>
      </c>
      <c r="E93">
        <v>0.23571428571428599</v>
      </c>
      <c r="F93">
        <v>0.64285714285714302</v>
      </c>
      <c r="G93">
        <v>0.75</v>
      </c>
      <c r="H93">
        <v>0.65662670275510704</v>
      </c>
      <c r="I93" s="2">
        <f t="shared" si="2"/>
        <v>0.68030327651492306</v>
      </c>
      <c r="J93" s="2">
        <f t="shared" si="3"/>
        <v>2.3676573759816022E-2</v>
      </c>
    </row>
    <row r="94" spans="1:11" x14ac:dyDescent="0.3">
      <c r="A94">
        <v>0.33943859102284801</v>
      </c>
      <c r="B94">
        <v>0.17777777777777801</v>
      </c>
      <c r="C94">
        <v>0.60283687943262398</v>
      </c>
      <c r="D94">
        <v>0.83687943262411302</v>
      </c>
      <c r="E94">
        <v>0.23404255319148901</v>
      </c>
      <c r="F94">
        <v>0.63829787234042601</v>
      </c>
      <c r="G94">
        <v>0.75</v>
      </c>
      <c r="H94">
        <v>0.64367669578096198</v>
      </c>
      <c r="I94" s="2">
        <f t="shared" si="2"/>
        <v>0.70261125909703714</v>
      </c>
      <c r="J94" s="2">
        <f t="shared" si="3"/>
        <v>5.8934563316075161E-2</v>
      </c>
    </row>
    <row r="95" spans="1:11" x14ac:dyDescent="0.3">
      <c r="A95">
        <v>0.48626604750336599</v>
      </c>
      <c r="B95">
        <v>0.17777777777777801</v>
      </c>
      <c r="C95">
        <v>0.23741007194244601</v>
      </c>
      <c r="D95">
        <v>0.402877697841727</v>
      </c>
      <c r="E95">
        <v>0.16546762589928099</v>
      </c>
      <c r="F95">
        <v>0.64748201438848896</v>
      </c>
      <c r="G95">
        <v>0.9375</v>
      </c>
      <c r="H95">
        <v>0.73249406798643202</v>
      </c>
      <c r="I95" s="2">
        <f t="shared" si="2"/>
        <v>0.59160764754810113</v>
      </c>
      <c r="J95" s="2">
        <f t="shared" si="3"/>
        <v>-0.14088642043833088</v>
      </c>
    </row>
    <row r="96" spans="1:11" x14ac:dyDescent="0.3">
      <c r="A96">
        <v>0.27511404478700902</v>
      </c>
      <c r="B96">
        <v>0.37853107344632803</v>
      </c>
      <c r="C96">
        <v>0.49166666666666697</v>
      </c>
      <c r="D96">
        <v>0.95416666666666705</v>
      </c>
      <c r="E96">
        <v>0.46250000000000002</v>
      </c>
      <c r="F96">
        <v>0.73750000000000004</v>
      </c>
      <c r="G96">
        <v>1.4029850746268699</v>
      </c>
      <c r="H96">
        <v>0.572258199939646</v>
      </c>
      <c r="I96" s="2">
        <f t="shared" si="2"/>
        <v>0.83168033116356965</v>
      </c>
      <c r="J96" s="2">
        <f t="shared" si="3"/>
        <v>0.25942213122392366</v>
      </c>
    </row>
    <row r="97" spans="1:10" x14ac:dyDescent="0.3">
      <c r="A97">
        <v>0.116617219019459</v>
      </c>
      <c r="B97">
        <v>0.38961038961039002</v>
      </c>
      <c r="C97">
        <v>0.14583333333333301</v>
      </c>
      <c r="D97">
        <v>0.29166666666666702</v>
      </c>
      <c r="E97">
        <v>0.14583333333333301</v>
      </c>
      <c r="F97">
        <v>0.32083333333333303</v>
      </c>
      <c r="G97">
        <v>0.86666666666666703</v>
      </c>
      <c r="H97">
        <v>0.80151543294961003</v>
      </c>
      <c r="I97" s="2">
        <f t="shared" si="2"/>
        <v>0.77669518406410287</v>
      </c>
      <c r="J97" s="2">
        <f t="shared" si="3"/>
        <v>-2.4820248885507157E-2</v>
      </c>
    </row>
    <row r="98" spans="1:10" x14ac:dyDescent="0.3">
      <c r="A98">
        <v>0.116617219019459</v>
      </c>
      <c r="B98">
        <v>0.38961038961039002</v>
      </c>
      <c r="C98">
        <v>0.5625</v>
      </c>
      <c r="D98">
        <v>0.70833333333333304</v>
      </c>
      <c r="E98">
        <v>0.14583333333333301</v>
      </c>
      <c r="F98">
        <v>0.32083333333333303</v>
      </c>
      <c r="G98">
        <v>0.86666666666666703</v>
      </c>
      <c r="H98">
        <v>0.89492916225498198</v>
      </c>
      <c r="I98" s="2">
        <f t="shared" si="2"/>
        <v>0.77669518406410287</v>
      </c>
      <c r="J98" s="2">
        <f t="shared" si="3"/>
        <v>-0.11823397819087911</v>
      </c>
    </row>
    <row r="99" spans="1:10" x14ac:dyDescent="0.3">
      <c r="A99">
        <v>0.44939146609105401</v>
      </c>
      <c r="B99">
        <v>0.48780487804877998</v>
      </c>
      <c r="C99">
        <v>0.45833333333333298</v>
      </c>
      <c r="D99">
        <v>0.76666666666666705</v>
      </c>
      <c r="E99">
        <v>0.30833333333333302</v>
      </c>
      <c r="F99">
        <v>0.51249999999999996</v>
      </c>
      <c r="G99">
        <v>1.8333333333333299</v>
      </c>
      <c r="H99">
        <v>0.67280033676482098</v>
      </c>
      <c r="I99" s="2">
        <f t="shared" si="2"/>
        <v>0.69135556576954238</v>
      </c>
      <c r="J99" s="2">
        <f t="shared" si="3"/>
        <v>1.8555229004721396E-2</v>
      </c>
    </row>
    <row r="100" spans="1:10" x14ac:dyDescent="0.3">
      <c r="A100">
        <v>0.44939146609105401</v>
      </c>
      <c r="B100">
        <v>0.48780487804877998</v>
      </c>
      <c r="C100">
        <v>0.52500000000000002</v>
      </c>
      <c r="D100">
        <v>0.83333333333333304</v>
      </c>
      <c r="E100">
        <v>0.30833333333333302</v>
      </c>
      <c r="F100">
        <v>0.51249999999999996</v>
      </c>
      <c r="G100">
        <v>1.8333333333333299</v>
      </c>
      <c r="H100">
        <v>0.63761321333600096</v>
      </c>
      <c r="I100" s="2">
        <f t="shared" si="2"/>
        <v>0.69135556576954238</v>
      </c>
      <c r="J100" s="2">
        <f t="shared" si="3"/>
        <v>5.3742352433541418E-2</v>
      </c>
    </row>
    <row r="101" spans="1:10" x14ac:dyDescent="0.3">
      <c r="A101">
        <v>0.44558618529625499</v>
      </c>
      <c r="B101">
        <v>0.85</v>
      </c>
      <c r="C101">
        <v>6.5000000000000099E-2</v>
      </c>
      <c r="D101">
        <v>0.66500000000000004</v>
      </c>
      <c r="E101">
        <v>0.6</v>
      </c>
      <c r="F101">
        <v>1</v>
      </c>
      <c r="G101">
        <v>8.8235294117647106E-2</v>
      </c>
      <c r="H101">
        <v>0.82395813469428403</v>
      </c>
      <c r="I101" s="2">
        <f t="shared" si="2"/>
        <v>0.72326616046039138</v>
      </c>
      <c r="J101" s="2">
        <f t="shared" si="3"/>
        <v>-0.10069197423389264</v>
      </c>
    </row>
    <row r="102" spans="1:10" x14ac:dyDescent="0.3">
      <c r="A102">
        <v>0.44558618529625499</v>
      </c>
      <c r="B102">
        <v>0.85</v>
      </c>
      <c r="C102">
        <v>0.215</v>
      </c>
      <c r="D102">
        <v>0.66500000000000004</v>
      </c>
      <c r="E102">
        <v>0.45</v>
      </c>
      <c r="F102">
        <v>1</v>
      </c>
      <c r="G102">
        <v>8.8235294117647106E-2</v>
      </c>
      <c r="H102">
        <v>0.82681047937832297</v>
      </c>
      <c r="I102" s="2">
        <f t="shared" si="2"/>
        <v>0.72326616046039138</v>
      </c>
      <c r="J102" s="2">
        <f t="shared" si="3"/>
        <v>-0.10354431891793159</v>
      </c>
    </row>
    <row r="103" spans="1:10" x14ac:dyDescent="0.3">
      <c r="A103">
        <v>0.27245455366140803</v>
      </c>
      <c r="B103">
        <v>0.5</v>
      </c>
      <c r="C103">
        <v>0</v>
      </c>
      <c r="D103">
        <v>0.35618878005342802</v>
      </c>
      <c r="E103">
        <v>0.35618878005342802</v>
      </c>
      <c r="F103">
        <v>1.0685663401602801</v>
      </c>
      <c r="G103">
        <v>0.5</v>
      </c>
      <c r="H103">
        <v>0.42536995768193803</v>
      </c>
      <c r="I103" s="2">
        <f t="shared" si="2"/>
        <v>0.42574315796223589</v>
      </c>
      <c r="J103" s="2">
        <f t="shared" si="3"/>
        <v>3.7320028029785846E-4</v>
      </c>
    </row>
    <row r="104" spans="1:10" x14ac:dyDescent="0.3">
      <c r="A104">
        <v>0.27245455366140803</v>
      </c>
      <c r="B104">
        <v>0.5</v>
      </c>
      <c r="C104">
        <v>0.28472906403940901</v>
      </c>
      <c r="D104">
        <v>0.481773399014778</v>
      </c>
      <c r="E104">
        <v>0.197044334975369</v>
      </c>
      <c r="F104">
        <v>0.59113300492610799</v>
      </c>
      <c r="G104">
        <v>0.5</v>
      </c>
      <c r="H104">
        <v>0.47841728084649199</v>
      </c>
      <c r="I104" s="2">
        <f t="shared" si="2"/>
        <v>0.44078276305607689</v>
      </c>
      <c r="J104" s="2">
        <f t="shared" si="3"/>
        <v>-3.7634517790415101E-2</v>
      </c>
    </row>
    <row r="105" spans="1:10" x14ac:dyDescent="0.3">
      <c r="A105">
        <v>0.26356643991892398</v>
      </c>
      <c r="B105">
        <v>0.532258064516129</v>
      </c>
      <c r="C105">
        <v>0.453703703703704</v>
      </c>
      <c r="D105">
        <v>0.69444444444444398</v>
      </c>
      <c r="E105">
        <v>0.240740740740741</v>
      </c>
      <c r="F105">
        <v>0.57407407407407396</v>
      </c>
      <c r="G105">
        <v>0.39393939393939398</v>
      </c>
      <c r="H105">
        <v>0.62332422544194299</v>
      </c>
      <c r="I105" s="2">
        <f t="shared" si="2"/>
        <v>0.76265981636819535</v>
      </c>
      <c r="J105" s="2">
        <f t="shared" si="3"/>
        <v>0.13933559092625236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32"/>
  <sheetViews>
    <sheetView workbookViewId="0">
      <selection activeCell="N8" sqref="N8"/>
    </sheetView>
  </sheetViews>
  <sheetFormatPr defaultRowHeight="14.4" x14ac:dyDescent="0.3"/>
  <sheetData>
    <row r="1" spans="1:17" x14ac:dyDescent="0.3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</row>
    <row r="2" spans="1:17" x14ac:dyDescent="0.3">
      <c r="A2">
        <v>0.319090064269206</v>
      </c>
      <c r="B2">
        <v>0.24444444444444399</v>
      </c>
      <c r="C2">
        <v>-0.226953573809558</v>
      </c>
      <c r="D2">
        <v>0</v>
      </c>
      <c r="E2">
        <v>0.226953573809558</v>
      </c>
      <c r="F2">
        <v>0.63830692633938102</v>
      </c>
      <c r="G2">
        <v>0.68181818181818199</v>
      </c>
      <c r="H2">
        <v>0.34557969985644399</v>
      </c>
      <c r="I2" s="2">
        <f>case4_(A2,B2,C2,D2,E2,F2,G2)</f>
        <v>0.55806236843839963</v>
      </c>
      <c r="J2" s="2">
        <f>I2-H2</f>
        <v>0.21248266858195564</v>
      </c>
      <c r="K2" s="2">
        <f>SQRT(SUMSQ(J2:J106)/COUNT(J2:J106))</f>
        <v>0.19869504712564678</v>
      </c>
      <c r="L2" s="2">
        <f>K108</f>
        <v>0.22564698136869837</v>
      </c>
    </row>
    <row r="3" spans="1:17" x14ac:dyDescent="0.3">
      <c r="A3">
        <v>0.319090064269206</v>
      </c>
      <c r="B3">
        <v>0.24444444444444399</v>
      </c>
      <c r="C3">
        <v>-9.8646034816247605E-2</v>
      </c>
      <c r="D3">
        <v>0.111883051092778</v>
      </c>
      <c r="E3">
        <v>0.210529085909025</v>
      </c>
      <c r="F3">
        <v>0.59211305411913295</v>
      </c>
      <c r="G3">
        <v>0.68181818181818199</v>
      </c>
      <c r="H3">
        <v>0.68588473020154095</v>
      </c>
      <c r="I3" s="2">
        <f t="shared" ref="I3:I66" si="0">case4_(A3,B3,C3,D3,E3,F3,G3)</f>
        <v>0.5871002030225565</v>
      </c>
      <c r="J3" s="2">
        <f t="shared" ref="J3:J66" si="1">I3-H3</f>
        <v>-9.8784527178984449E-2</v>
      </c>
    </row>
    <row r="4" spans="1:17" x14ac:dyDescent="0.3">
      <c r="A4">
        <v>0.319090064269206</v>
      </c>
      <c r="B4">
        <v>0.24444444444444399</v>
      </c>
      <c r="C4">
        <v>-0.20132075218447601</v>
      </c>
      <c r="D4">
        <v>1.3435700575815701E-2</v>
      </c>
      <c r="E4">
        <v>0.21475645276029201</v>
      </c>
      <c r="F4">
        <v>0.60400252338831995</v>
      </c>
      <c r="G4">
        <v>0.68181818181818199</v>
      </c>
      <c r="H4">
        <v>0.30916076688018002</v>
      </c>
      <c r="I4" s="2">
        <f t="shared" si="0"/>
        <v>0.57935172309008698</v>
      </c>
      <c r="J4" s="2">
        <f t="shared" si="1"/>
        <v>0.27019095620990696</v>
      </c>
    </row>
    <row r="5" spans="1:17" x14ac:dyDescent="0.3">
      <c r="A5">
        <v>0.319090064269206</v>
      </c>
      <c r="B5">
        <v>0.24444444444444399</v>
      </c>
      <c r="C5">
        <v>-0.170090609779326</v>
      </c>
      <c r="D5">
        <v>4.7590541753965897E-2</v>
      </c>
      <c r="E5">
        <v>0.21768115153329201</v>
      </c>
      <c r="F5">
        <v>0.61222823868738296</v>
      </c>
      <c r="G5">
        <v>0.68181818181818199</v>
      </c>
      <c r="H5">
        <v>0.68919024506987303</v>
      </c>
      <c r="I5" s="2">
        <f t="shared" si="0"/>
        <v>0.57410966651878514</v>
      </c>
      <c r="J5" s="2">
        <f t="shared" si="1"/>
        <v>-0.11508057855108789</v>
      </c>
      <c r="N5" s="3">
        <v>12</v>
      </c>
      <c r="O5" s="3">
        <v>75</v>
      </c>
      <c r="P5">
        <v>0.15</v>
      </c>
      <c r="Q5">
        <v>0.2</v>
      </c>
    </row>
    <row r="6" spans="1:17" x14ac:dyDescent="0.3">
      <c r="A6">
        <v>0.319090064269206</v>
      </c>
      <c r="B6">
        <v>0.24444444444444399</v>
      </c>
      <c r="C6">
        <v>-0.16320644336208501</v>
      </c>
      <c r="D6">
        <v>5.4474708171206199E-2</v>
      </c>
      <c r="E6">
        <v>0.21768115153329201</v>
      </c>
      <c r="F6">
        <v>0.61222823868738296</v>
      </c>
      <c r="G6">
        <v>0.68181818181818199</v>
      </c>
      <c r="H6">
        <v>0.597234693623093</v>
      </c>
      <c r="I6" s="2">
        <f t="shared" si="0"/>
        <v>0.57410965664984215</v>
      </c>
      <c r="J6" s="2">
        <f t="shared" si="1"/>
        <v>-2.3125036973250856E-2</v>
      </c>
      <c r="N6" s="3">
        <v>7</v>
      </c>
      <c r="O6" s="3">
        <v>28</v>
      </c>
      <c r="P6">
        <v>0.2</v>
      </c>
      <c r="Q6">
        <v>0.23</v>
      </c>
    </row>
    <row r="7" spans="1:17" x14ac:dyDescent="0.3">
      <c r="A7">
        <v>0.319090064269206</v>
      </c>
      <c r="B7">
        <v>0.24444444444444399</v>
      </c>
      <c r="C7">
        <v>-0.16433777193270899</v>
      </c>
      <c r="D7">
        <v>5.4852320675105502E-2</v>
      </c>
      <c r="E7">
        <v>0.219190092607814</v>
      </c>
      <c r="F7">
        <v>0.61647213545947699</v>
      </c>
      <c r="G7">
        <v>0.68181818181818199</v>
      </c>
      <c r="H7">
        <v>0.45864026403689501</v>
      </c>
      <c r="I7" s="2">
        <f t="shared" si="0"/>
        <v>0.57144089787180419</v>
      </c>
      <c r="J7" s="2">
        <f t="shared" si="1"/>
        <v>0.11280063383490918</v>
      </c>
    </row>
    <row r="8" spans="1:17" x14ac:dyDescent="0.3">
      <c r="A8">
        <v>0.319090064269206</v>
      </c>
      <c r="B8">
        <v>0.24444444444444399</v>
      </c>
      <c r="C8">
        <v>-0.12749822154812601</v>
      </c>
      <c r="D8">
        <v>8.7258231212165999E-2</v>
      </c>
      <c r="E8">
        <v>0.21475645276029201</v>
      </c>
      <c r="F8">
        <v>0.60400252338831995</v>
      </c>
      <c r="G8">
        <v>0.68181818181818199</v>
      </c>
      <c r="H8">
        <v>0.59278015004519202</v>
      </c>
      <c r="I8" s="2">
        <f t="shared" si="0"/>
        <v>0.57935161625283571</v>
      </c>
      <c r="J8" s="2">
        <f t="shared" si="1"/>
        <v>-1.3428533792356312E-2</v>
      </c>
    </row>
    <row r="9" spans="1:17" x14ac:dyDescent="0.3">
      <c r="A9">
        <v>0.319090064269206</v>
      </c>
      <c r="B9">
        <v>0.24444444444444399</v>
      </c>
      <c r="C9">
        <v>-0.121680608673325</v>
      </c>
      <c r="D9">
        <v>9.4544373420544101E-2</v>
      </c>
      <c r="E9">
        <v>0.21622498209386901</v>
      </c>
      <c r="F9">
        <v>0.60813276213900602</v>
      </c>
      <c r="G9">
        <v>0.68181818181818199</v>
      </c>
      <c r="H9">
        <v>0.61919843465663105</v>
      </c>
      <c r="I9" s="2">
        <f t="shared" si="0"/>
        <v>0.57670785345249165</v>
      </c>
      <c r="J9" s="2">
        <f t="shared" si="1"/>
        <v>-4.2490581204139399E-2</v>
      </c>
    </row>
    <row r="10" spans="1:17" x14ac:dyDescent="0.3">
      <c r="A10">
        <v>0.319090064269206</v>
      </c>
      <c r="B10">
        <v>0.24444444444444399</v>
      </c>
      <c r="C10">
        <v>-5.1603329247048198E-2</v>
      </c>
      <c r="D10">
        <v>0.15486160397445001</v>
      </c>
      <c r="E10">
        <v>0.206464933221498</v>
      </c>
      <c r="F10">
        <v>0.58068262468546405</v>
      </c>
      <c r="G10">
        <v>0.68181818181818199</v>
      </c>
      <c r="H10">
        <v>0.66611041436118701</v>
      </c>
      <c r="I10" s="2">
        <f t="shared" si="0"/>
        <v>0.59475651544235209</v>
      </c>
      <c r="J10" s="2">
        <f t="shared" si="1"/>
        <v>-7.1353898918834924E-2</v>
      </c>
    </row>
    <row r="11" spans="1:17" x14ac:dyDescent="0.3">
      <c r="A11">
        <v>0.319090064269206</v>
      </c>
      <c r="B11">
        <v>0.24444444444444399</v>
      </c>
      <c r="C11">
        <v>-2.6627376730046198E-2</v>
      </c>
      <c r="D11">
        <v>0.18671164564388401</v>
      </c>
      <c r="E11">
        <v>0.21333902237392999</v>
      </c>
      <c r="F11">
        <v>0.60001600042667802</v>
      </c>
      <c r="G11">
        <v>0.68181818181818199</v>
      </c>
      <c r="H11">
        <v>0.94121366214735303</v>
      </c>
      <c r="I11" s="2">
        <f t="shared" si="0"/>
        <v>0.58192623571522328</v>
      </c>
      <c r="J11" s="2">
        <f t="shared" si="1"/>
        <v>-0.35928742643212974</v>
      </c>
    </row>
    <row r="12" spans="1:17" x14ac:dyDescent="0.3">
      <c r="A12">
        <v>0.30376590132493603</v>
      </c>
      <c r="B12">
        <v>0.46666666666666701</v>
      </c>
      <c r="C12">
        <v>-0.122571428571429</v>
      </c>
      <c r="D12">
        <v>0.16314285714285701</v>
      </c>
      <c r="E12">
        <v>0.28571428571428598</v>
      </c>
      <c r="F12">
        <v>0.61224489795918402</v>
      </c>
      <c r="G12">
        <v>0.59523809523809501</v>
      </c>
      <c r="H12">
        <v>0.81720223495706101</v>
      </c>
      <c r="I12" s="2">
        <f t="shared" si="0"/>
        <v>0.80847701596827992</v>
      </c>
      <c r="J12" s="2">
        <f t="shared" si="1"/>
        <v>-8.7252189887810916E-3</v>
      </c>
    </row>
    <row r="13" spans="1:17" x14ac:dyDescent="0.3">
      <c r="A13">
        <v>0.30376590132493603</v>
      </c>
      <c r="B13">
        <v>0.46666666666666701</v>
      </c>
      <c r="C13">
        <v>-0.13416009019165701</v>
      </c>
      <c r="D13">
        <v>0.14768883878241301</v>
      </c>
      <c r="E13">
        <v>0.28184892897406999</v>
      </c>
      <c r="F13">
        <v>0.60396199065872103</v>
      </c>
      <c r="G13">
        <v>0.59523809523809501</v>
      </c>
      <c r="H13">
        <v>0.89217149401673701</v>
      </c>
      <c r="I13" s="2">
        <f t="shared" si="0"/>
        <v>0.81328266451316955</v>
      </c>
      <c r="J13" s="2">
        <f t="shared" si="1"/>
        <v>-7.8888829503567459E-2</v>
      </c>
    </row>
    <row r="14" spans="1:17" x14ac:dyDescent="0.3">
      <c r="A14">
        <v>0.30376590132493603</v>
      </c>
      <c r="B14">
        <v>0.46666666666666701</v>
      </c>
      <c r="C14">
        <v>-8.0608793686583996E-2</v>
      </c>
      <c r="D14">
        <v>0.20124013528748599</v>
      </c>
      <c r="E14">
        <v>0.28184892897406999</v>
      </c>
      <c r="F14">
        <v>0.60396199065872103</v>
      </c>
      <c r="G14">
        <v>0.59523809523809501</v>
      </c>
      <c r="H14">
        <v>0.89060362763966805</v>
      </c>
      <c r="I14" s="2">
        <f t="shared" si="0"/>
        <v>0.81328226049765973</v>
      </c>
      <c r="J14" s="2">
        <f t="shared" si="1"/>
        <v>-7.7321367142008324E-2</v>
      </c>
    </row>
    <row r="15" spans="1:17" x14ac:dyDescent="0.3">
      <c r="A15">
        <v>0.30376590132493603</v>
      </c>
      <c r="B15">
        <v>0.46666666666666701</v>
      </c>
      <c r="C15">
        <v>-4.58413395553115E-2</v>
      </c>
      <c r="D15">
        <v>0.228657699698051</v>
      </c>
      <c r="E15">
        <v>0.274499039253363</v>
      </c>
      <c r="F15">
        <v>0.588212226971491</v>
      </c>
      <c r="G15">
        <v>0.59523809523809501</v>
      </c>
      <c r="H15">
        <v>0.74762093645247396</v>
      </c>
      <c r="I15" s="2">
        <f t="shared" si="0"/>
        <v>0.82277995140316318</v>
      </c>
      <c r="J15" s="2">
        <f t="shared" si="1"/>
        <v>7.5159014950689218E-2</v>
      </c>
    </row>
    <row r="16" spans="1:17" x14ac:dyDescent="0.3">
      <c r="A16">
        <v>0.30376590132493603</v>
      </c>
      <c r="B16">
        <v>0.46666666666666701</v>
      </c>
      <c r="C16">
        <v>-3.35400225479143E-2</v>
      </c>
      <c r="D16">
        <v>0.248308906426156</v>
      </c>
      <c r="E16">
        <v>0.28184892897406999</v>
      </c>
      <c r="F16">
        <v>0.60396199065872103</v>
      </c>
      <c r="G16">
        <v>0.59523809523809501</v>
      </c>
      <c r="H16">
        <v>0.75317300409160803</v>
      </c>
      <c r="I16" s="2">
        <f t="shared" si="0"/>
        <v>0.81328188239429744</v>
      </c>
      <c r="J16" s="2">
        <f t="shared" si="1"/>
        <v>6.0108878302689406E-2</v>
      </c>
    </row>
    <row r="17" spans="1:10" x14ac:dyDescent="0.3">
      <c r="A17">
        <v>0.40768003860124302</v>
      </c>
      <c r="B17">
        <v>0.17777777777777801</v>
      </c>
      <c r="C17">
        <v>-0.15</v>
      </c>
      <c r="D17">
        <v>8.5714285714285701E-2</v>
      </c>
      <c r="E17">
        <v>0.23571428571428599</v>
      </c>
      <c r="F17">
        <v>0.64285714285714302</v>
      </c>
      <c r="G17">
        <v>0.75</v>
      </c>
      <c r="H17">
        <v>0.31481435602958402</v>
      </c>
      <c r="I17" s="2">
        <f t="shared" si="0"/>
        <v>0.37038951692441285</v>
      </c>
      <c r="J17" s="2">
        <f t="shared" si="1"/>
        <v>5.5575160894828834E-2</v>
      </c>
    </row>
    <row r="18" spans="1:10" x14ac:dyDescent="0.3">
      <c r="A18">
        <v>0.33339095296243298</v>
      </c>
      <c r="B18">
        <v>0.17777777777777801</v>
      </c>
      <c r="C18">
        <v>-0.22857142857142901</v>
      </c>
      <c r="D18">
        <v>7.14285714285714E-3</v>
      </c>
      <c r="E18">
        <v>0.23571428571428599</v>
      </c>
      <c r="F18">
        <v>0.64285714285714302</v>
      </c>
      <c r="G18">
        <v>0.75</v>
      </c>
      <c r="H18">
        <v>5.2965912629375902E-2</v>
      </c>
      <c r="I18" s="2">
        <f t="shared" si="0"/>
        <v>0.37038955022676773</v>
      </c>
      <c r="J18" s="2">
        <f t="shared" si="1"/>
        <v>0.31742363759739184</v>
      </c>
    </row>
    <row r="19" spans="1:10" x14ac:dyDescent="0.3">
      <c r="A19">
        <v>0.40768003860124302</v>
      </c>
      <c r="B19">
        <v>0.17777777777777801</v>
      </c>
      <c r="C19">
        <v>-0.16551724137931001</v>
      </c>
      <c r="D19">
        <v>6.2068965517241399E-2</v>
      </c>
      <c r="E19">
        <v>0.22758620689655201</v>
      </c>
      <c r="F19">
        <v>0.62068965517241403</v>
      </c>
      <c r="G19">
        <v>0.75</v>
      </c>
      <c r="H19">
        <v>0.37070540980535999</v>
      </c>
      <c r="I19" s="2">
        <f t="shared" si="0"/>
        <v>0.38507975947777967</v>
      </c>
      <c r="J19" s="2">
        <f t="shared" si="1"/>
        <v>1.4374349672419684E-2</v>
      </c>
    </row>
    <row r="20" spans="1:10" x14ac:dyDescent="0.3">
      <c r="A20">
        <v>0.40933589781638902</v>
      </c>
      <c r="B20">
        <v>0.17777777777777801</v>
      </c>
      <c r="C20">
        <v>-9.2857142857142805E-2</v>
      </c>
      <c r="D20">
        <v>7.1428571428571397E-2</v>
      </c>
      <c r="E20">
        <v>0.16428571428571401</v>
      </c>
      <c r="F20">
        <v>0.64285714285714302</v>
      </c>
      <c r="G20">
        <v>0.9375</v>
      </c>
      <c r="H20">
        <v>0.38842750474163901</v>
      </c>
      <c r="I20" s="2">
        <f t="shared" si="0"/>
        <v>0.32327037519048979</v>
      </c>
      <c r="J20" s="2">
        <f t="shared" si="1"/>
        <v>-6.5157129551149218E-2</v>
      </c>
    </row>
    <row r="21" spans="1:10" x14ac:dyDescent="0.3">
      <c r="A21">
        <v>0.40933589781638902</v>
      </c>
      <c r="B21">
        <v>0.17777777777777801</v>
      </c>
      <c r="C21">
        <v>-9.2857142857142805E-2</v>
      </c>
      <c r="D21">
        <v>7.1428571428571397E-2</v>
      </c>
      <c r="E21">
        <v>0.16428571428571401</v>
      </c>
      <c r="F21">
        <v>0.64285714285714302</v>
      </c>
      <c r="G21">
        <v>0.9375</v>
      </c>
      <c r="H21">
        <v>0.36601585771745998</v>
      </c>
      <c r="I21" s="2">
        <f t="shared" si="0"/>
        <v>0.32327037519048979</v>
      </c>
      <c r="J21" s="2">
        <f t="shared" si="1"/>
        <v>-4.2745482526970191E-2</v>
      </c>
    </row>
    <row r="22" spans="1:10" x14ac:dyDescent="0.3">
      <c r="A22">
        <v>0.48699700163245901</v>
      </c>
      <c r="B22">
        <v>0.17777777777777801</v>
      </c>
      <c r="C22">
        <v>-8.5106382978723402E-2</v>
      </c>
      <c r="D22">
        <v>7.8014184397163094E-2</v>
      </c>
      <c r="E22">
        <v>0.16312056737588701</v>
      </c>
      <c r="F22">
        <v>0.63829787234042601</v>
      </c>
      <c r="G22">
        <v>0.9375</v>
      </c>
      <c r="H22">
        <v>0.47806929363612199</v>
      </c>
      <c r="I22" s="2">
        <f t="shared" si="0"/>
        <v>0.32602795926343858</v>
      </c>
      <c r="J22" s="2">
        <f t="shared" si="1"/>
        <v>-0.15204133437268341</v>
      </c>
    </row>
    <row r="23" spans="1:10" x14ac:dyDescent="0.3">
      <c r="A23">
        <v>0.48699700163245901</v>
      </c>
      <c r="B23">
        <v>0.17777777777777801</v>
      </c>
      <c r="C23">
        <v>-9.2857142857142805E-2</v>
      </c>
      <c r="D23">
        <v>7.1428571428571397E-2</v>
      </c>
      <c r="E23">
        <v>0.16428571428571401</v>
      </c>
      <c r="F23">
        <v>0.64285714285714302</v>
      </c>
      <c r="G23">
        <v>0.9375</v>
      </c>
      <c r="H23">
        <v>0.41826717782997502</v>
      </c>
      <c r="I23" s="2">
        <f t="shared" si="0"/>
        <v>0.32327037519048979</v>
      </c>
      <c r="J23" s="2">
        <f t="shared" si="1"/>
        <v>-9.4996802639485234E-2</v>
      </c>
    </row>
    <row r="24" spans="1:10" x14ac:dyDescent="0.3">
      <c r="A24">
        <v>0.34186098845408902</v>
      </c>
      <c r="B24">
        <v>0.17777777777777801</v>
      </c>
      <c r="C24">
        <v>-9.2857142857142805E-2</v>
      </c>
      <c r="D24">
        <v>7.1428571428571397E-2</v>
      </c>
      <c r="E24">
        <v>0.16428571428571401</v>
      </c>
      <c r="F24">
        <v>0.64285714285714302</v>
      </c>
      <c r="G24">
        <v>0.9375</v>
      </c>
      <c r="H24">
        <v>0.43121136632172602</v>
      </c>
      <c r="I24" s="2">
        <f t="shared" si="0"/>
        <v>0.32327037519048979</v>
      </c>
      <c r="J24" s="2">
        <f t="shared" si="1"/>
        <v>-0.10794099113123623</v>
      </c>
    </row>
    <row r="25" spans="1:10" x14ac:dyDescent="0.3">
      <c r="A25">
        <v>0.48626604750336599</v>
      </c>
      <c r="B25">
        <v>0.17777777777777801</v>
      </c>
      <c r="C25">
        <v>-0.10638297872340401</v>
      </c>
      <c r="D25">
        <v>5.6737588652482303E-2</v>
      </c>
      <c r="E25">
        <v>0.16312056737588701</v>
      </c>
      <c r="F25">
        <v>0.63829787234042601</v>
      </c>
      <c r="G25">
        <v>0.9375</v>
      </c>
      <c r="H25">
        <v>0.38270706858494802</v>
      </c>
      <c r="I25" s="2">
        <f t="shared" si="0"/>
        <v>0.32602795962741193</v>
      </c>
      <c r="J25" s="2">
        <f t="shared" si="1"/>
        <v>-5.6679108957536084E-2</v>
      </c>
    </row>
    <row r="26" spans="1:10" x14ac:dyDescent="0.3">
      <c r="A26">
        <v>0.48626604750336599</v>
      </c>
      <c r="B26">
        <v>0.17777777777777801</v>
      </c>
      <c r="C26">
        <v>-7.09219858156028E-2</v>
      </c>
      <c r="D26">
        <v>9.2198581560283696E-2</v>
      </c>
      <c r="E26">
        <v>0.16312056737588701</v>
      </c>
      <c r="F26">
        <v>0.63829787234042601</v>
      </c>
      <c r="G26">
        <v>0.9375</v>
      </c>
      <c r="H26">
        <v>0.28982339591662698</v>
      </c>
      <c r="I26" s="2">
        <f t="shared" si="0"/>
        <v>0.32602795901536463</v>
      </c>
      <c r="J26" s="2">
        <f t="shared" si="1"/>
        <v>3.6204563098737652E-2</v>
      </c>
    </row>
    <row r="27" spans="1:10" x14ac:dyDescent="0.3">
      <c r="A27">
        <v>0.31078053142483802</v>
      </c>
      <c r="B27">
        <v>0.33108108108108097</v>
      </c>
      <c r="C27">
        <v>-0.27</v>
      </c>
      <c r="D27">
        <v>0.23</v>
      </c>
      <c r="E27">
        <v>0.5</v>
      </c>
      <c r="F27">
        <v>1.48</v>
      </c>
      <c r="G27">
        <v>1.03061224489796</v>
      </c>
      <c r="H27">
        <v>1.1064866848597199</v>
      </c>
      <c r="I27" s="2">
        <f t="shared" si="0"/>
        <v>1.1056423330089737</v>
      </c>
      <c r="J27" s="2">
        <f t="shared" si="1"/>
        <v>-8.4435185074616115E-4</v>
      </c>
    </row>
    <row r="28" spans="1:10" x14ac:dyDescent="0.3">
      <c r="A28">
        <v>0.31078053142483802</v>
      </c>
      <c r="B28">
        <v>0.33108108108108097</v>
      </c>
      <c r="C28">
        <v>-0.5</v>
      </c>
      <c r="D28">
        <v>0</v>
      </c>
      <c r="E28">
        <v>0.5</v>
      </c>
      <c r="F28">
        <v>1.48</v>
      </c>
      <c r="G28">
        <v>1.03061224489796</v>
      </c>
      <c r="H28">
        <v>0.83130268639148697</v>
      </c>
      <c r="I28" s="2">
        <f t="shared" si="0"/>
        <v>1.1056423322090807</v>
      </c>
      <c r="J28" s="2">
        <f t="shared" si="1"/>
        <v>0.27433964581759374</v>
      </c>
    </row>
    <row r="29" spans="1:10" x14ac:dyDescent="0.3">
      <c r="A29">
        <v>0.49041819659053498</v>
      </c>
      <c r="B29">
        <v>0.8</v>
      </c>
      <c r="C29">
        <v>-0.125</v>
      </c>
      <c r="D29">
        <v>0</v>
      </c>
      <c r="E29">
        <v>0.125</v>
      </c>
      <c r="F29">
        <v>0.83333333333333304</v>
      </c>
      <c r="G29">
        <v>0.125</v>
      </c>
      <c r="H29">
        <v>0.81491856735449197</v>
      </c>
      <c r="I29" s="2">
        <f t="shared" si="0"/>
        <v>0.96200425988898797</v>
      </c>
      <c r="J29" s="2">
        <f t="shared" si="1"/>
        <v>0.14708569253449599</v>
      </c>
    </row>
    <row r="30" spans="1:10" x14ac:dyDescent="0.3">
      <c r="A30">
        <v>0.49041819659053498</v>
      </c>
      <c r="B30">
        <v>0.8</v>
      </c>
      <c r="C30">
        <v>-4.1666666666666699E-2</v>
      </c>
      <c r="D30">
        <v>8.3333333333333301E-2</v>
      </c>
      <c r="E30">
        <v>0.125</v>
      </c>
      <c r="F30">
        <v>0.83333333333333304</v>
      </c>
      <c r="G30">
        <v>0.125</v>
      </c>
      <c r="H30">
        <v>0.75212169408657004</v>
      </c>
      <c r="I30" s="2">
        <f t="shared" si="0"/>
        <v>0.96049493873943126</v>
      </c>
      <c r="J30" s="2">
        <f t="shared" si="1"/>
        <v>0.20837324465286122</v>
      </c>
    </row>
    <row r="31" spans="1:10" x14ac:dyDescent="0.3">
      <c r="A31">
        <v>0.27511404478700902</v>
      </c>
      <c r="B31">
        <v>0.37853107344632803</v>
      </c>
      <c r="C31">
        <v>-0.32500000000000001</v>
      </c>
      <c r="D31">
        <v>0.13750000000000001</v>
      </c>
      <c r="E31">
        <v>0.46250000000000002</v>
      </c>
      <c r="F31">
        <v>0.73750000000000004</v>
      </c>
      <c r="G31">
        <v>1.4029850746268699</v>
      </c>
      <c r="H31">
        <v>0.43607041045647899</v>
      </c>
      <c r="I31" s="2">
        <f t="shared" si="0"/>
        <v>0.52393305096114084</v>
      </c>
      <c r="J31" s="2">
        <f t="shared" si="1"/>
        <v>8.786264050466186E-2</v>
      </c>
    </row>
    <row r="32" spans="1:10" x14ac:dyDescent="0.3">
      <c r="A32">
        <v>0.27511404478700902</v>
      </c>
      <c r="B32">
        <v>0.37853107344632803</v>
      </c>
      <c r="C32">
        <v>-4.1666666666666701E-3</v>
      </c>
      <c r="D32">
        <v>0.45833333333333298</v>
      </c>
      <c r="E32">
        <v>0.46250000000000002</v>
      </c>
      <c r="F32">
        <v>0.73750000000000004</v>
      </c>
      <c r="G32">
        <v>1.4029850746268699</v>
      </c>
      <c r="H32">
        <v>0.90332703290168004</v>
      </c>
      <c r="I32" s="2">
        <f t="shared" si="0"/>
        <v>0.52393305095898057</v>
      </c>
      <c r="J32" s="2">
        <f t="shared" si="1"/>
        <v>-0.37939398194269947</v>
      </c>
    </row>
    <row r="33" spans="1:10" x14ac:dyDescent="0.3">
      <c r="A33">
        <v>0.116617219019459</v>
      </c>
      <c r="B33">
        <v>0.38961038961039002</v>
      </c>
      <c r="C33">
        <v>-0.104166666666667</v>
      </c>
      <c r="D33">
        <v>4.1666666666666699E-2</v>
      </c>
      <c r="E33">
        <v>0.14583333333333301</v>
      </c>
      <c r="F33">
        <v>0.32083333333333303</v>
      </c>
      <c r="G33">
        <v>0.86666666666666703</v>
      </c>
      <c r="H33">
        <v>0.98309546546004301</v>
      </c>
      <c r="I33" s="2">
        <f t="shared" si="0"/>
        <v>0.94723689089155039</v>
      </c>
      <c r="J33" s="2">
        <f t="shared" si="1"/>
        <v>-3.5858574568492618E-2</v>
      </c>
    </row>
    <row r="34" spans="1:10" x14ac:dyDescent="0.3">
      <c r="A34">
        <v>0.44939146609105401</v>
      </c>
      <c r="B34">
        <v>0.48780487804877998</v>
      </c>
      <c r="C34">
        <v>-0.3</v>
      </c>
      <c r="D34">
        <v>8.3333333333333402E-3</v>
      </c>
      <c r="E34">
        <v>0.30833333333333302</v>
      </c>
      <c r="F34">
        <v>0.51249999999999996</v>
      </c>
      <c r="G34">
        <v>1.8333333333333299</v>
      </c>
      <c r="H34">
        <v>0.43310852639518099</v>
      </c>
      <c r="I34" s="2">
        <f t="shared" si="0"/>
        <v>0.59950193441202559</v>
      </c>
      <c r="J34" s="2">
        <f t="shared" si="1"/>
        <v>0.1663934080168446</v>
      </c>
    </row>
    <row r="35" spans="1:10" x14ac:dyDescent="0.3">
      <c r="A35">
        <v>0.44939146609105401</v>
      </c>
      <c r="B35">
        <v>0.48780487804877998</v>
      </c>
      <c r="C35">
        <v>-0.24583333333333299</v>
      </c>
      <c r="D35">
        <v>6.25E-2</v>
      </c>
      <c r="E35">
        <v>0.30833333333333302</v>
      </c>
      <c r="F35">
        <v>0.51249999999999996</v>
      </c>
      <c r="G35">
        <v>1.8333333333333299</v>
      </c>
      <c r="H35">
        <v>0.54613125346785896</v>
      </c>
      <c r="I35" s="2">
        <f t="shared" si="0"/>
        <v>0.59950193441202537</v>
      </c>
      <c r="J35" s="2">
        <f t="shared" si="1"/>
        <v>5.3370680944166415E-2</v>
      </c>
    </row>
    <row r="36" spans="1:10" x14ac:dyDescent="0.3">
      <c r="A36">
        <v>0.44939146609105401</v>
      </c>
      <c r="B36">
        <v>0.48780487804877998</v>
      </c>
      <c r="C36">
        <v>-0.15833333333333299</v>
      </c>
      <c r="D36">
        <v>0.15</v>
      </c>
      <c r="E36">
        <v>0.30833333333333302</v>
      </c>
      <c r="F36">
        <v>0.51249999999999996</v>
      </c>
      <c r="G36">
        <v>1.8333333333333299</v>
      </c>
      <c r="H36">
        <v>0.705091283869969</v>
      </c>
      <c r="I36" s="2">
        <f t="shared" si="0"/>
        <v>0.59950193441202504</v>
      </c>
      <c r="J36" s="2">
        <f t="shared" si="1"/>
        <v>-0.10558934945794396</v>
      </c>
    </row>
    <row r="37" spans="1:10" x14ac:dyDescent="0.3">
      <c r="A37">
        <v>0.44939146609105401</v>
      </c>
      <c r="B37">
        <v>0.48780487804877998</v>
      </c>
      <c r="C37">
        <v>-2.9166666666666698E-2</v>
      </c>
      <c r="D37">
        <v>0.27916666666666701</v>
      </c>
      <c r="E37">
        <v>0.30833333333333302</v>
      </c>
      <c r="F37">
        <v>0.51249999999999996</v>
      </c>
      <c r="G37">
        <v>1.8333333333333299</v>
      </c>
      <c r="H37">
        <v>0.64132427377983403</v>
      </c>
      <c r="I37" s="2">
        <f t="shared" si="0"/>
        <v>0.59950193441202448</v>
      </c>
      <c r="J37" s="2">
        <f t="shared" si="1"/>
        <v>-4.1822339367809547E-2</v>
      </c>
    </row>
    <row r="38" spans="1:10" x14ac:dyDescent="0.3">
      <c r="A38">
        <v>0.44939146609105401</v>
      </c>
      <c r="B38">
        <v>0.48780487804877998</v>
      </c>
      <c r="C38">
        <v>-7.9166666666666705E-2</v>
      </c>
      <c r="D38">
        <v>0.22916666666666699</v>
      </c>
      <c r="E38">
        <v>0.30833333333333302</v>
      </c>
      <c r="F38">
        <v>0.51249999999999996</v>
      </c>
      <c r="G38">
        <v>1.8333333333333299</v>
      </c>
      <c r="H38">
        <v>0.79436335027041105</v>
      </c>
      <c r="I38" s="2">
        <f t="shared" si="0"/>
        <v>0.59950193441202471</v>
      </c>
      <c r="J38" s="2">
        <f t="shared" si="1"/>
        <v>-0.19486141585838634</v>
      </c>
    </row>
    <row r="39" spans="1:10" x14ac:dyDescent="0.3">
      <c r="A39">
        <v>0.44558618529625499</v>
      </c>
      <c r="B39">
        <v>0.85</v>
      </c>
      <c r="C39">
        <v>-0.26500000000000001</v>
      </c>
      <c r="D39">
        <v>0.33500000000000002</v>
      </c>
      <c r="E39">
        <v>0.6</v>
      </c>
      <c r="F39">
        <v>1</v>
      </c>
      <c r="G39">
        <v>8.8235294117647106E-2</v>
      </c>
      <c r="H39">
        <v>0.836809959829106</v>
      </c>
      <c r="I39" s="2">
        <f t="shared" si="0"/>
        <v>0.93825366399706356</v>
      </c>
      <c r="J39" s="2">
        <f t="shared" si="1"/>
        <v>0.10144370416795756</v>
      </c>
    </row>
    <row r="40" spans="1:10" x14ac:dyDescent="0.3">
      <c r="A40">
        <v>0.44558618529625499</v>
      </c>
      <c r="B40">
        <v>0.85</v>
      </c>
      <c r="C40">
        <v>-0.55000000000000004</v>
      </c>
      <c r="D40">
        <v>0.05</v>
      </c>
      <c r="E40">
        <v>0.6</v>
      </c>
      <c r="F40">
        <v>1</v>
      </c>
      <c r="G40">
        <v>8.8235294117647106E-2</v>
      </c>
      <c r="H40">
        <v>0.89035209678299398</v>
      </c>
      <c r="I40" s="2">
        <f t="shared" si="0"/>
        <v>0.95036864787383446</v>
      </c>
      <c r="J40" s="2">
        <f t="shared" si="1"/>
        <v>6.0016551090840475E-2</v>
      </c>
    </row>
    <row r="41" spans="1:10" x14ac:dyDescent="0.3">
      <c r="A41">
        <v>0.44558618529625499</v>
      </c>
      <c r="B41">
        <v>0.85</v>
      </c>
      <c r="C41">
        <v>-0.6</v>
      </c>
      <c r="D41">
        <v>0</v>
      </c>
      <c r="E41">
        <v>0.6</v>
      </c>
      <c r="F41">
        <v>1</v>
      </c>
      <c r="G41">
        <v>8.8235294117647106E-2</v>
      </c>
      <c r="H41">
        <v>0.90938417301906205</v>
      </c>
      <c r="I41" s="2">
        <f t="shared" si="0"/>
        <v>0.95208436896169701</v>
      </c>
      <c r="J41" s="2">
        <f t="shared" si="1"/>
        <v>4.2700195942634966E-2</v>
      </c>
    </row>
    <row r="42" spans="1:10" x14ac:dyDescent="0.3">
      <c r="A42">
        <v>0.44558618529625499</v>
      </c>
      <c r="B42">
        <v>0.85</v>
      </c>
      <c r="C42">
        <v>-0.115</v>
      </c>
      <c r="D42">
        <v>0.33500000000000002</v>
      </c>
      <c r="E42">
        <v>0.45</v>
      </c>
      <c r="F42">
        <v>1</v>
      </c>
      <c r="G42">
        <v>8.8235294117647106E-2</v>
      </c>
      <c r="H42">
        <v>0.78730915064526796</v>
      </c>
      <c r="I42" s="2">
        <f t="shared" si="0"/>
        <v>0.93825366399706356</v>
      </c>
      <c r="J42" s="2">
        <f t="shared" si="1"/>
        <v>0.1509445133517956</v>
      </c>
    </row>
    <row r="43" spans="1:10" x14ac:dyDescent="0.3">
      <c r="A43">
        <v>0.44558618529625499</v>
      </c>
      <c r="B43">
        <v>0.85</v>
      </c>
      <c r="C43">
        <v>-0.4</v>
      </c>
      <c r="D43">
        <v>0.05</v>
      </c>
      <c r="E43">
        <v>0.45</v>
      </c>
      <c r="F43">
        <v>1</v>
      </c>
      <c r="G43">
        <v>8.8235294117647106E-2</v>
      </c>
      <c r="H43">
        <v>0.75764210065808302</v>
      </c>
      <c r="I43" s="2">
        <f t="shared" si="0"/>
        <v>0.95036864787383446</v>
      </c>
      <c r="J43" s="2">
        <f t="shared" si="1"/>
        <v>0.19272654721575144</v>
      </c>
    </row>
    <row r="44" spans="1:10" x14ac:dyDescent="0.3">
      <c r="A44">
        <v>0.44558618529625499</v>
      </c>
      <c r="B44">
        <v>0.85</v>
      </c>
      <c r="C44">
        <v>-0.45</v>
      </c>
      <c r="D44">
        <v>0</v>
      </c>
      <c r="E44">
        <v>0.45</v>
      </c>
      <c r="F44">
        <v>1</v>
      </c>
      <c r="G44">
        <v>8.8235294117647106E-2</v>
      </c>
      <c r="H44">
        <v>1.1093107112096801</v>
      </c>
      <c r="I44" s="2">
        <f t="shared" si="0"/>
        <v>0.95208436896169701</v>
      </c>
      <c r="J44" s="2">
        <f t="shared" si="1"/>
        <v>-0.15722634224798304</v>
      </c>
    </row>
    <row r="45" spans="1:10" x14ac:dyDescent="0.3">
      <c r="A45">
        <v>0.44558618529625499</v>
      </c>
      <c r="B45">
        <v>0.7</v>
      </c>
      <c r="C45">
        <v>-0.115</v>
      </c>
      <c r="D45">
        <v>0.33500000000000002</v>
      </c>
      <c r="E45">
        <v>0.45</v>
      </c>
      <c r="F45">
        <v>1</v>
      </c>
      <c r="G45">
        <v>0.214285714285714</v>
      </c>
      <c r="H45">
        <v>0.79429892045599704</v>
      </c>
      <c r="I45" s="2">
        <f t="shared" si="0"/>
        <v>0.88656430634087502</v>
      </c>
      <c r="J45" s="2">
        <f t="shared" si="1"/>
        <v>9.2265385884877982E-2</v>
      </c>
    </row>
    <row r="46" spans="1:10" x14ac:dyDescent="0.3">
      <c r="A46">
        <v>0.44558618529625499</v>
      </c>
      <c r="B46">
        <v>0.7</v>
      </c>
      <c r="C46">
        <v>-0.4</v>
      </c>
      <c r="D46">
        <v>0.05</v>
      </c>
      <c r="E46">
        <v>0.45</v>
      </c>
      <c r="F46">
        <v>1</v>
      </c>
      <c r="G46">
        <v>0.214285714285714</v>
      </c>
      <c r="H46">
        <v>0.73815620144868599</v>
      </c>
      <c r="I46" s="2">
        <f t="shared" si="0"/>
        <v>0.88793576624584081</v>
      </c>
      <c r="J46" s="2">
        <f t="shared" si="1"/>
        <v>0.14977956479715482</v>
      </c>
    </row>
    <row r="47" spans="1:10" x14ac:dyDescent="0.3">
      <c r="A47">
        <v>0.44558618529625499</v>
      </c>
      <c r="B47">
        <v>0.7</v>
      </c>
      <c r="C47">
        <v>-0.45</v>
      </c>
      <c r="D47">
        <v>0</v>
      </c>
      <c r="E47">
        <v>0.45</v>
      </c>
      <c r="F47">
        <v>1</v>
      </c>
      <c r="G47">
        <v>0.214285714285714</v>
      </c>
      <c r="H47">
        <v>1.0595325882728699</v>
      </c>
      <c r="I47" s="2">
        <f t="shared" si="0"/>
        <v>0.88812999206603527</v>
      </c>
      <c r="J47" s="2">
        <f t="shared" si="1"/>
        <v>-0.17140259620683462</v>
      </c>
    </row>
    <row r="48" spans="1:10" x14ac:dyDescent="0.3">
      <c r="A48">
        <v>0.44558618529625499</v>
      </c>
      <c r="B48">
        <v>0.55000000000000004</v>
      </c>
      <c r="C48">
        <v>-0.26500000000000001</v>
      </c>
      <c r="D48">
        <v>0.33500000000000002</v>
      </c>
      <c r="E48">
        <v>0.6</v>
      </c>
      <c r="F48">
        <v>1</v>
      </c>
      <c r="G48">
        <v>0.40909090909090901</v>
      </c>
      <c r="H48">
        <v>0.69228528789956001</v>
      </c>
      <c r="I48" s="2">
        <f t="shared" si="0"/>
        <v>0.76484589925459967</v>
      </c>
      <c r="J48" s="2">
        <f t="shared" si="1"/>
        <v>7.2560611355039661E-2</v>
      </c>
    </row>
    <row r="49" spans="1:10" x14ac:dyDescent="0.3">
      <c r="A49">
        <v>0.44558618529625499</v>
      </c>
      <c r="B49">
        <v>0.55000000000000004</v>
      </c>
      <c r="C49">
        <v>-0.41499999999999998</v>
      </c>
      <c r="D49">
        <v>0.185</v>
      </c>
      <c r="E49">
        <v>0.6</v>
      </c>
      <c r="F49">
        <v>1</v>
      </c>
      <c r="G49">
        <v>0.40909090909090901</v>
      </c>
      <c r="H49">
        <v>0.945079493964053</v>
      </c>
      <c r="I49" s="2">
        <f t="shared" si="0"/>
        <v>0.76487288569866085</v>
      </c>
      <c r="J49" s="2">
        <f t="shared" si="1"/>
        <v>-0.18020660826539214</v>
      </c>
    </row>
    <row r="50" spans="1:10" x14ac:dyDescent="0.3">
      <c r="A50">
        <v>0.44558618529625499</v>
      </c>
      <c r="B50">
        <v>0.55000000000000004</v>
      </c>
      <c r="C50">
        <v>-0.6</v>
      </c>
      <c r="D50">
        <v>0</v>
      </c>
      <c r="E50">
        <v>0.6</v>
      </c>
      <c r="F50">
        <v>1</v>
      </c>
      <c r="G50">
        <v>0.40909090909090901</v>
      </c>
      <c r="H50">
        <v>0.42633077578586198</v>
      </c>
      <c r="I50" s="2">
        <f t="shared" si="0"/>
        <v>0.76489991105489474</v>
      </c>
      <c r="J50" s="2">
        <f t="shared" si="1"/>
        <v>0.33856913526903276</v>
      </c>
    </row>
    <row r="51" spans="1:10" x14ac:dyDescent="0.3">
      <c r="A51">
        <v>0.44558618529625499</v>
      </c>
      <c r="B51">
        <v>0.55000000000000004</v>
      </c>
      <c r="C51">
        <v>-0.26500000000000001</v>
      </c>
      <c r="D51">
        <v>0.185</v>
      </c>
      <c r="E51">
        <v>0.45</v>
      </c>
      <c r="F51">
        <v>1</v>
      </c>
      <c r="G51">
        <v>0.40909090909090901</v>
      </c>
      <c r="H51">
        <v>0.779650412236505</v>
      </c>
      <c r="I51" s="2">
        <f t="shared" si="0"/>
        <v>0.76487288569866085</v>
      </c>
      <c r="J51" s="2">
        <f t="shared" si="1"/>
        <v>-1.4777526537844143E-2</v>
      </c>
    </row>
    <row r="52" spans="1:10" x14ac:dyDescent="0.3">
      <c r="A52">
        <v>0.44558618529625499</v>
      </c>
      <c r="B52">
        <v>0.55000000000000004</v>
      </c>
      <c r="C52">
        <v>-0.4</v>
      </c>
      <c r="D52">
        <v>0.05</v>
      </c>
      <c r="E52">
        <v>0.45</v>
      </c>
      <c r="F52">
        <v>1</v>
      </c>
      <c r="G52">
        <v>0.40909090909090901</v>
      </c>
      <c r="H52">
        <v>0.48315760997935597</v>
      </c>
      <c r="I52" s="2">
        <f t="shared" si="0"/>
        <v>0.76489321080461847</v>
      </c>
      <c r="J52" s="2">
        <f t="shared" si="1"/>
        <v>0.2817356008252625</v>
      </c>
    </row>
    <row r="53" spans="1:10" x14ac:dyDescent="0.3">
      <c r="A53">
        <v>0.44558618529625499</v>
      </c>
      <c r="B53">
        <v>0.55000000000000004</v>
      </c>
      <c r="C53">
        <v>-0.45</v>
      </c>
      <c r="D53">
        <v>0</v>
      </c>
      <c r="E53">
        <v>0.45</v>
      </c>
      <c r="F53">
        <v>1</v>
      </c>
      <c r="G53">
        <v>0.40909090909090901</v>
      </c>
      <c r="H53">
        <v>0.45047446723447698</v>
      </c>
      <c r="I53" s="2">
        <f t="shared" si="0"/>
        <v>0.76489991105489474</v>
      </c>
      <c r="J53" s="2">
        <f t="shared" si="1"/>
        <v>0.31442544382041776</v>
      </c>
    </row>
    <row r="54" spans="1:10" x14ac:dyDescent="0.3">
      <c r="A54">
        <v>0.44558618529625499</v>
      </c>
      <c r="B54">
        <v>0.55000000000000004</v>
      </c>
      <c r="C54">
        <v>-0.115</v>
      </c>
      <c r="D54">
        <v>0.185</v>
      </c>
      <c r="E54">
        <v>0.3</v>
      </c>
      <c r="F54">
        <v>1</v>
      </c>
      <c r="G54">
        <v>0.40909090909090901</v>
      </c>
      <c r="H54">
        <v>1.03603750474964</v>
      </c>
      <c r="I54" s="2">
        <f t="shared" si="0"/>
        <v>0.76487288569866085</v>
      </c>
      <c r="J54" s="2">
        <f t="shared" si="1"/>
        <v>-0.27116461905097911</v>
      </c>
    </row>
    <row r="55" spans="1:10" x14ac:dyDescent="0.3">
      <c r="A55">
        <v>0.44558618529625499</v>
      </c>
      <c r="B55">
        <v>0.55000000000000004</v>
      </c>
      <c r="C55">
        <v>-0.25</v>
      </c>
      <c r="D55">
        <v>0.05</v>
      </c>
      <c r="E55">
        <v>0.3</v>
      </c>
      <c r="F55">
        <v>1</v>
      </c>
      <c r="G55">
        <v>0.40909090909090901</v>
      </c>
      <c r="H55">
        <v>0.88006143476026399</v>
      </c>
      <c r="I55" s="2">
        <f t="shared" si="0"/>
        <v>0.76489321080461847</v>
      </c>
      <c r="J55" s="2">
        <f t="shared" si="1"/>
        <v>-0.11516822395564552</v>
      </c>
    </row>
    <row r="56" spans="1:10" x14ac:dyDescent="0.3">
      <c r="A56">
        <v>0.51712291666666699</v>
      </c>
      <c r="B56">
        <v>0.74166666666666703</v>
      </c>
      <c r="C56">
        <v>-0.16111111111111101</v>
      </c>
      <c r="D56">
        <v>0.16111111111111101</v>
      </c>
      <c r="E56">
        <v>0.32222222222222202</v>
      </c>
      <c r="F56">
        <v>0.66666666666666696</v>
      </c>
      <c r="G56">
        <v>0.16853932584269599</v>
      </c>
      <c r="H56">
        <v>1.5557537171840701</v>
      </c>
      <c r="I56" s="2">
        <f t="shared" si="0"/>
        <v>1.0101282023894991</v>
      </c>
      <c r="J56" s="2">
        <f t="shared" si="1"/>
        <v>-0.545625514794571</v>
      </c>
    </row>
    <row r="57" spans="1:10" x14ac:dyDescent="0.3">
      <c r="A57">
        <v>0.51712291666666699</v>
      </c>
      <c r="B57">
        <v>0.74166666666666703</v>
      </c>
      <c r="C57">
        <v>-0.32222222222222202</v>
      </c>
      <c r="D57">
        <v>0</v>
      </c>
      <c r="E57">
        <v>0.32222222222222202</v>
      </c>
      <c r="F57">
        <v>0.66666666666666696</v>
      </c>
      <c r="G57">
        <v>0.16853932584269599</v>
      </c>
      <c r="H57">
        <v>1.12455636671528</v>
      </c>
      <c r="I57" s="2">
        <f t="shared" si="0"/>
        <v>1.0117396378879897</v>
      </c>
      <c r="J57" s="2">
        <f t="shared" si="1"/>
        <v>-0.11281672882729032</v>
      </c>
    </row>
    <row r="58" spans="1:10" x14ac:dyDescent="0.3">
      <c r="A58">
        <v>0.44558618529625499</v>
      </c>
      <c r="B58">
        <v>0.4</v>
      </c>
      <c r="C58">
        <v>-0.12</v>
      </c>
      <c r="D58">
        <v>0.33</v>
      </c>
      <c r="E58">
        <v>0.45</v>
      </c>
      <c r="F58">
        <v>1</v>
      </c>
      <c r="G58">
        <v>0.75</v>
      </c>
      <c r="H58">
        <v>0.46153405469732101</v>
      </c>
      <c r="I58" s="2">
        <f t="shared" si="0"/>
        <v>0.56686469315645005</v>
      </c>
      <c r="J58" s="2">
        <f t="shared" si="1"/>
        <v>0.10533063845912904</v>
      </c>
    </row>
    <row r="59" spans="1:10" x14ac:dyDescent="0.3">
      <c r="A59">
        <v>0.44558618529625499</v>
      </c>
      <c r="B59">
        <v>0.4</v>
      </c>
      <c r="C59">
        <v>-0.26</v>
      </c>
      <c r="D59">
        <v>0.19</v>
      </c>
      <c r="E59">
        <v>0.45</v>
      </c>
      <c r="F59">
        <v>1</v>
      </c>
      <c r="G59">
        <v>0.75</v>
      </c>
      <c r="H59">
        <v>0.489872560802386</v>
      </c>
      <c r="I59" s="2">
        <f t="shared" si="0"/>
        <v>0.56686476269455599</v>
      </c>
      <c r="J59" s="2">
        <f t="shared" si="1"/>
        <v>7.6992201892169987E-2</v>
      </c>
    </row>
    <row r="60" spans="1:10" x14ac:dyDescent="0.3">
      <c r="A60">
        <v>0.44558618529625499</v>
      </c>
      <c r="B60">
        <v>0.4</v>
      </c>
      <c r="C60">
        <v>-0.45</v>
      </c>
      <c r="D60">
        <v>0</v>
      </c>
      <c r="E60">
        <v>0.45</v>
      </c>
      <c r="F60">
        <v>1</v>
      </c>
      <c r="G60">
        <v>0.75</v>
      </c>
      <c r="H60">
        <v>3.7866807319514701E-3</v>
      </c>
      <c r="I60" s="2">
        <f t="shared" si="0"/>
        <v>0.56686483958691813</v>
      </c>
      <c r="J60" s="2">
        <f t="shared" si="1"/>
        <v>0.5630781588549667</v>
      </c>
    </row>
    <row r="61" spans="1:10" x14ac:dyDescent="0.3">
      <c r="A61">
        <v>0.31078053142483802</v>
      </c>
      <c r="B61">
        <v>0.33108108108108097</v>
      </c>
      <c r="C61">
        <v>-0.17</v>
      </c>
      <c r="D61">
        <v>0.33</v>
      </c>
      <c r="E61">
        <v>0.5</v>
      </c>
      <c r="F61">
        <v>1.48</v>
      </c>
      <c r="G61">
        <v>1.0204081632653099</v>
      </c>
      <c r="H61">
        <v>1.3629586049886599</v>
      </c>
      <c r="I61" s="2">
        <f t="shared" si="0"/>
        <v>1.103518830505712</v>
      </c>
      <c r="J61" s="2">
        <f t="shared" si="1"/>
        <v>-0.25943977448294797</v>
      </c>
    </row>
    <row r="62" spans="1:10" x14ac:dyDescent="0.3">
      <c r="A62">
        <v>0.31078053142483802</v>
      </c>
      <c r="B62">
        <v>0.33108108108108097</v>
      </c>
      <c r="C62">
        <v>-0.01</v>
      </c>
      <c r="D62">
        <v>0.24</v>
      </c>
      <c r="E62">
        <v>0.25</v>
      </c>
      <c r="F62">
        <v>1.48</v>
      </c>
      <c r="G62">
        <v>1.0204081632653099</v>
      </c>
      <c r="H62">
        <v>1.2481159830058099</v>
      </c>
      <c r="I62" s="2">
        <f t="shared" si="0"/>
        <v>1.1035188300454373</v>
      </c>
      <c r="J62" s="2">
        <f t="shared" si="1"/>
        <v>-0.14459715296037268</v>
      </c>
    </row>
    <row r="63" spans="1:10" x14ac:dyDescent="0.3">
      <c r="A63">
        <v>0.31078053142483802</v>
      </c>
      <c r="B63">
        <v>0.33108108108108097</v>
      </c>
      <c r="C63">
        <v>-0.25</v>
      </c>
      <c r="D63">
        <v>0</v>
      </c>
      <c r="E63">
        <v>0.25</v>
      </c>
      <c r="F63">
        <v>1.48</v>
      </c>
      <c r="G63">
        <v>1.0204081632653099</v>
      </c>
      <c r="H63">
        <v>1.1302101476851101</v>
      </c>
      <c r="I63" s="2">
        <f t="shared" si="0"/>
        <v>1.1035188290432476</v>
      </c>
      <c r="J63" s="2">
        <f t="shared" si="1"/>
        <v>-2.6691318641862471E-2</v>
      </c>
    </row>
    <row r="64" spans="1:10" x14ac:dyDescent="0.3">
      <c r="A64">
        <v>0.59769387755101999</v>
      </c>
      <c r="B64">
        <v>1</v>
      </c>
      <c r="C64">
        <v>-7.0000000000000007E-2</v>
      </c>
      <c r="D64">
        <v>1.01</v>
      </c>
      <c r="E64">
        <v>1.07</v>
      </c>
      <c r="F64">
        <v>0.49</v>
      </c>
      <c r="G64">
        <v>0.20408163265306101</v>
      </c>
      <c r="H64">
        <v>1.3114087729674799</v>
      </c>
      <c r="I64" s="2">
        <f t="shared" si="0"/>
        <v>1.1688571099078158</v>
      </c>
      <c r="J64" s="2">
        <f t="shared" si="1"/>
        <v>-0.14255166305966416</v>
      </c>
    </row>
    <row r="65" spans="1:10" x14ac:dyDescent="0.3">
      <c r="A65">
        <v>0.59769387755101999</v>
      </c>
      <c r="B65">
        <v>1</v>
      </c>
      <c r="C65">
        <v>-0.25</v>
      </c>
      <c r="D65">
        <v>1.01</v>
      </c>
      <c r="E65">
        <v>1.25</v>
      </c>
      <c r="F65">
        <v>0.49</v>
      </c>
      <c r="G65">
        <v>0.20408163265306101</v>
      </c>
      <c r="H65">
        <v>1.3114979550855099</v>
      </c>
      <c r="I65" s="2">
        <f t="shared" si="0"/>
        <v>1.1688571099078158</v>
      </c>
      <c r="J65" s="2">
        <f t="shared" si="1"/>
        <v>-0.14264084517769415</v>
      </c>
    </row>
    <row r="66" spans="1:10" x14ac:dyDescent="0.3">
      <c r="A66">
        <v>0.59769387755101999</v>
      </c>
      <c r="B66">
        <v>1</v>
      </c>
      <c r="C66">
        <v>-0.5</v>
      </c>
      <c r="D66">
        <v>1.01</v>
      </c>
      <c r="E66">
        <v>1.5</v>
      </c>
      <c r="F66">
        <v>0.49</v>
      </c>
      <c r="G66">
        <v>0.20408163265306101</v>
      </c>
      <c r="H66">
        <v>1.10764701581226</v>
      </c>
      <c r="I66" s="2">
        <f t="shared" si="0"/>
        <v>1.1688571099078158</v>
      </c>
      <c r="J66" s="2">
        <f t="shared" si="1"/>
        <v>6.1210094095555778E-2</v>
      </c>
    </row>
    <row r="67" spans="1:10" x14ac:dyDescent="0.3">
      <c r="A67">
        <v>0.51712291666666699</v>
      </c>
      <c r="B67">
        <v>0.74166666666666703</v>
      </c>
      <c r="C67">
        <v>-0.16111111111111101</v>
      </c>
      <c r="D67">
        <v>0.16111111111111101</v>
      </c>
      <c r="E67">
        <v>0.32222222222222202</v>
      </c>
      <c r="F67">
        <v>0.66666666666666696</v>
      </c>
      <c r="G67">
        <v>0.174157303370787</v>
      </c>
      <c r="H67">
        <v>1.22126559797971</v>
      </c>
      <c r="I67" s="2">
        <f t="shared" ref="I67:I130" si="2">case4_(A67,B67,C67,D67,E67,F67,G67)</f>
        <v>1.0085847161129897</v>
      </c>
      <c r="J67" s="2">
        <f t="shared" ref="J67:J130" si="3">I67-H67</f>
        <v>-0.21268088186672029</v>
      </c>
    </row>
    <row r="68" spans="1:10" x14ac:dyDescent="0.3">
      <c r="A68">
        <v>0.27245455366140803</v>
      </c>
      <c r="B68">
        <v>0.5</v>
      </c>
      <c r="C68">
        <v>-0.38058991436726902</v>
      </c>
      <c r="D68">
        <v>0</v>
      </c>
      <c r="E68">
        <v>0.38058991436726902</v>
      </c>
      <c r="F68">
        <v>1.1417697431018099</v>
      </c>
      <c r="G68">
        <v>0.5</v>
      </c>
      <c r="H68">
        <v>0.36981598847585201</v>
      </c>
      <c r="I68" s="2">
        <f t="shared" si="2"/>
        <v>0.67261131139526631</v>
      </c>
      <c r="J68" s="2">
        <f t="shared" si="3"/>
        <v>0.3027953229194143</v>
      </c>
    </row>
    <row r="69" spans="1:10" x14ac:dyDescent="0.3">
      <c r="A69">
        <v>0.27245455366140803</v>
      </c>
      <c r="B69">
        <v>0.5</v>
      </c>
      <c r="C69">
        <v>-9.3457943925233697E-2</v>
      </c>
      <c r="D69">
        <v>0.28037383177570102</v>
      </c>
      <c r="E69">
        <v>0.37383177570093501</v>
      </c>
      <c r="F69">
        <v>1.1214953271028001</v>
      </c>
      <c r="G69">
        <v>0.5</v>
      </c>
      <c r="H69">
        <v>0.45099054529256</v>
      </c>
      <c r="I69" s="2">
        <f t="shared" si="2"/>
        <v>0.67836250758000938</v>
      </c>
      <c r="J69" s="2">
        <f t="shared" si="3"/>
        <v>0.22737196228744938</v>
      </c>
    </row>
    <row r="70" spans="1:10" x14ac:dyDescent="0.3">
      <c r="A70">
        <v>0.27245455366140803</v>
      </c>
      <c r="B70">
        <v>0.5</v>
      </c>
      <c r="C70">
        <v>-0.2</v>
      </c>
      <c r="D70">
        <v>0</v>
      </c>
      <c r="E70">
        <v>0.2</v>
      </c>
      <c r="F70">
        <v>0.6</v>
      </c>
      <c r="G70">
        <v>0.5</v>
      </c>
      <c r="H70">
        <v>0.32706734952223798</v>
      </c>
      <c r="I70" s="2">
        <f t="shared" si="2"/>
        <v>0.86265556191996784</v>
      </c>
      <c r="J70" s="2">
        <f t="shared" si="3"/>
        <v>0.5355882123977298</v>
      </c>
    </row>
    <row r="71" spans="1:10" x14ac:dyDescent="0.3">
      <c r="A71">
        <v>0.27245455366140803</v>
      </c>
      <c r="B71">
        <v>0.5</v>
      </c>
      <c r="C71">
        <v>-0.74074074074074103</v>
      </c>
      <c r="D71">
        <v>0</v>
      </c>
      <c r="E71">
        <v>0.74074074074074103</v>
      </c>
      <c r="F71">
        <v>2.2222222222222201</v>
      </c>
      <c r="G71">
        <v>0.5</v>
      </c>
      <c r="H71">
        <v>0.476673281248437</v>
      </c>
      <c r="I71" s="2">
        <f t="shared" si="2"/>
        <v>0.65153456858133663</v>
      </c>
      <c r="J71" s="2">
        <f t="shared" si="3"/>
        <v>0.17486128733289963</v>
      </c>
    </row>
    <row r="72" spans="1:10" x14ac:dyDescent="0.3">
      <c r="A72">
        <v>0.24866889861532601</v>
      </c>
      <c r="B72">
        <v>0.5</v>
      </c>
      <c r="C72">
        <v>-0.8</v>
      </c>
      <c r="D72">
        <v>0</v>
      </c>
      <c r="E72">
        <v>0.8</v>
      </c>
      <c r="F72">
        <v>2.4</v>
      </c>
      <c r="G72">
        <v>0.5</v>
      </c>
      <c r="H72">
        <v>0.69139628397960795</v>
      </c>
      <c r="I72" s="2">
        <f t="shared" si="2"/>
        <v>0.64826552743871813</v>
      </c>
      <c r="J72" s="2">
        <f t="shared" si="3"/>
        <v>-4.3130756540889825E-2</v>
      </c>
    </row>
    <row r="73" spans="1:10" x14ac:dyDescent="0.3">
      <c r="A73">
        <v>0.24866889861532601</v>
      </c>
      <c r="B73">
        <v>0.5</v>
      </c>
      <c r="C73">
        <v>-0.72727272727272696</v>
      </c>
      <c r="D73">
        <v>0</v>
      </c>
      <c r="E73">
        <v>0.72727272727272696</v>
      </c>
      <c r="F73">
        <v>2.1818181818181799</v>
      </c>
      <c r="G73">
        <v>0.5</v>
      </c>
      <c r="H73">
        <v>0.77843679596707105</v>
      </c>
      <c r="I73" s="2">
        <f t="shared" si="2"/>
        <v>0.65249134872789349</v>
      </c>
      <c r="J73" s="2">
        <f t="shared" si="3"/>
        <v>-0.12594544723917755</v>
      </c>
    </row>
    <row r="74" spans="1:10" x14ac:dyDescent="0.3">
      <c r="A74">
        <v>0.24866889861532601</v>
      </c>
      <c r="B74">
        <v>0.5</v>
      </c>
      <c r="C74">
        <v>-0.53333333333333299</v>
      </c>
      <c r="D74">
        <v>0</v>
      </c>
      <c r="E74">
        <v>0.53333333333333299</v>
      </c>
      <c r="F74">
        <v>1.6</v>
      </c>
      <c r="G74">
        <v>0.5</v>
      </c>
      <c r="H74">
        <v>0.491649072463549</v>
      </c>
      <c r="I74" s="2">
        <f t="shared" si="2"/>
        <v>0.69021152589442913</v>
      </c>
      <c r="J74" s="2">
        <f t="shared" si="3"/>
        <v>0.19856245343088014</v>
      </c>
    </row>
    <row r="75" spans="1:10" x14ac:dyDescent="0.3">
      <c r="A75">
        <v>0.24866889861532601</v>
      </c>
      <c r="B75">
        <v>0.5</v>
      </c>
      <c r="C75">
        <v>-0.44444444444444398</v>
      </c>
      <c r="D75">
        <v>0</v>
      </c>
      <c r="E75">
        <v>0.44444444444444398</v>
      </c>
      <c r="F75">
        <v>1.3333333333333299</v>
      </c>
      <c r="G75">
        <v>0.5</v>
      </c>
      <c r="H75">
        <v>0.353911553138338</v>
      </c>
      <c r="I75" s="2">
        <f t="shared" si="2"/>
        <v>0.38086464947392468</v>
      </c>
      <c r="J75" s="2">
        <f t="shared" si="3"/>
        <v>2.6953096335586679E-2</v>
      </c>
    </row>
    <row r="76" spans="1:10" x14ac:dyDescent="0.3">
      <c r="A76">
        <v>0.24866889861532601</v>
      </c>
      <c r="B76">
        <v>0.5</v>
      </c>
      <c r="C76">
        <v>-0.38095238095238099</v>
      </c>
      <c r="D76">
        <v>0</v>
      </c>
      <c r="E76">
        <v>0.38095238095238099</v>
      </c>
      <c r="F76">
        <v>1.1428571428571399</v>
      </c>
      <c r="G76">
        <v>0.5</v>
      </c>
      <c r="H76">
        <v>0.56418136383391004</v>
      </c>
      <c r="I76" s="2">
        <f t="shared" si="2"/>
        <v>0.67229128047557352</v>
      </c>
      <c r="J76" s="2">
        <f t="shared" si="3"/>
        <v>0.10810991664166347</v>
      </c>
    </row>
    <row r="77" spans="1:10" x14ac:dyDescent="0.3">
      <c r="A77">
        <v>0.24866889861532601</v>
      </c>
      <c r="B77">
        <v>0.5</v>
      </c>
      <c r="C77">
        <v>-0.47058823529411797</v>
      </c>
      <c r="D77">
        <v>0</v>
      </c>
      <c r="E77">
        <v>0.47058823529411797</v>
      </c>
      <c r="F77">
        <v>1.4117647058823499</v>
      </c>
      <c r="G77">
        <v>0.5</v>
      </c>
      <c r="H77">
        <v>0.63950946598889102</v>
      </c>
      <c r="I77" s="2">
        <f t="shared" si="2"/>
        <v>0.79729010120943455</v>
      </c>
      <c r="J77" s="2">
        <f t="shared" si="3"/>
        <v>0.15778063522054353</v>
      </c>
    </row>
    <row r="78" spans="1:10" x14ac:dyDescent="0.3">
      <c r="A78">
        <v>0.24866889861532601</v>
      </c>
      <c r="B78">
        <v>0.5</v>
      </c>
      <c r="C78">
        <v>-1.4285714285714299</v>
      </c>
      <c r="D78">
        <v>0</v>
      </c>
      <c r="E78">
        <v>1.4285714285714299</v>
      </c>
      <c r="F78">
        <v>4.28571428571429</v>
      </c>
      <c r="G78">
        <v>0.5</v>
      </c>
      <c r="H78">
        <v>0.37741110067830902</v>
      </c>
      <c r="I78" s="2">
        <f t="shared" si="2"/>
        <v>0.64206188178214241</v>
      </c>
      <c r="J78" s="2">
        <f t="shared" si="3"/>
        <v>0.26465078110383339</v>
      </c>
    </row>
    <row r="79" spans="1:10" x14ac:dyDescent="0.3">
      <c r="A79">
        <v>0.24866889861532601</v>
      </c>
      <c r="B79">
        <v>0.5</v>
      </c>
      <c r="C79">
        <v>-0.68965517241379304</v>
      </c>
      <c r="D79">
        <v>0</v>
      </c>
      <c r="E79">
        <v>0.68965517241379304</v>
      </c>
      <c r="F79">
        <v>2.0689655172413799</v>
      </c>
      <c r="G79">
        <v>0.5</v>
      </c>
      <c r="H79">
        <v>0.78073205835094495</v>
      </c>
      <c r="I79" s="2">
        <f t="shared" si="2"/>
        <v>0.65572304028172357</v>
      </c>
      <c r="J79" s="2">
        <f t="shared" si="3"/>
        <v>-0.12500901806922138</v>
      </c>
    </row>
    <row r="80" spans="1:10" x14ac:dyDescent="0.3">
      <c r="A80">
        <v>0.24866889861532601</v>
      </c>
      <c r="B80">
        <v>0.5</v>
      </c>
      <c r="C80">
        <v>-0.60150375939849599</v>
      </c>
      <c r="D80">
        <v>0</v>
      </c>
      <c r="E80">
        <v>0.60150375939849599</v>
      </c>
      <c r="F80">
        <v>1.80451127819549</v>
      </c>
      <c r="G80">
        <v>0.5</v>
      </c>
      <c r="H80">
        <v>0.59703930857440801</v>
      </c>
      <c r="I80" s="2">
        <f t="shared" si="2"/>
        <v>0.66840824125961196</v>
      </c>
      <c r="J80" s="2">
        <f t="shared" si="3"/>
        <v>7.1368932685203945E-2</v>
      </c>
    </row>
    <row r="81" spans="1:10" x14ac:dyDescent="0.3">
      <c r="A81">
        <v>0.24866889861532601</v>
      </c>
      <c r="B81">
        <v>0.5</v>
      </c>
      <c r="C81">
        <v>-0.72727272727272696</v>
      </c>
      <c r="D81">
        <v>0</v>
      </c>
      <c r="E81">
        <v>0.72727272727272696</v>
      </c>
      <c r="F81">
        <v>2.1818181818181799</v>
      </c>
      <c r="G81">
        <v>0.5</v>
      </c>
      <c r="H81">
        <v>1.0243125627195799</v>
      </c>
      <c r="I81" s="2">
        <f t="shared" si="2"/>
        <v>0.65249134872789349</v>
      </c>
      <c r="J81" s="2">
        <f t="shared" si="3"/>
        <v>-0.37182121399168644</v>
      </c>
    </row>
    <row r="82" spans="1:10" x14ac:dyDescent="0.3">
      <c r="A82">
        <v>0.24866889861532601</v>
      </c>
      <c r="B82">
        <v>0.5</v>
      </c>
      <c r="C82">
        <v>-0.75471698113207597</v>
      </c>
      <c r="D82">
        <v>0</v>
      </c>
      <c r="E82">
        <v>0.75471698113207597</v>
      </c>
      <c r="F82">
        <v>2.2641509433962299</v>
      </c>
      <c r="G82">
        <v>0.5</v>
      </c>
      <c r="H82">
        <v>0.77799081259692004</v>
      </c>
      <c r="I82" s="2">
        <f t="shared" si="2"/>
        <v>0.65063508582000684</v>
      </c>
      <c r="J82" s="2">
        <f t="shared" si="3"/>
        <v>-0.1273557267769132</v>
      </c>
    </row>
    <row r="83" spans="1:10" x14ac:dyDescent="0.3">
      <c r="A83">
        <v>0.24866889861532601</v>
      </c>
      <c r="B83">
        <v>0.5</v>
      </c>
      <c r="C83">
        <v>-0.37037037037037002</v>
      </c>
      <c r="D83">
        <v>0</v>
      </c>
      <c r="E83">
        <v>0.37037037037037002</v>
      </c>
      <c r="F83">
        <v>1.1111111111111101</v>
      </c>
      <c r="G83">
        <v>0.5</v>
      </c>
      <c r="H83">
        <v>1.0081586654649399</v>
      </c>
      <c r="I83" s="2">
        <f t="shared" si="2"/>
        <v>0.68120134004568988</v>
      </c>
      <c r="J83" s="2">
        <f t="shared" si="3"/>
        <v>-0.32695732541925004</v>
      </c>
    </row>
    <row r="84" spans="1:10" x14ac:dyDescent="0.3">
      <c r="A84">
        <v>0.56428</v>
      </c>
      <c r="B84">
        <v>1</v>
      </c>
      <c r="C84">
        <v>-3.9370078740157497E-3</v>
      </c>
      <c r="D84">
        <v>1</v>
      </c>
      <c r="E84">
        <v>1.00393700787402</v>
      </c>
      <c r="F84">
        <v>0.47244094488188998</v>
      </c>
      <c r="G84">
        <v>0</v>
      </c>
      <c r="H84">
        <v>0.68323126634504505</v>
      </c>
      <c r="I84" s="2">
        <f t="shared" si="2"/>
        <v>0.71923101282242974</v>
      </c>
      <c r="J84" s="2">
        <f t="shared" si="3"/>
        <v>3.5999746477384686E-2</v>
      </c>
    </row>
    <row r="85" spans="1:10" x14ac:dyDescent="0.3">
      <c r="A85">
        <v>0.56428</v>
      </c>
      <c r="B85">
        <v>1</v>
      </c>
      <c r="C85">
        <v>-3.9370078740157501E-2</v>
      </c>
      <c r="D85">
        <v>1</v>
      </c>
      <c r="E85">
        <v>1.0393700787401601</v>
      </c>
      <c r="F85">
        <v>0.47244094488188998</v>
      </c>
      <c r="G85">
        <v>0</v>
      </c>
      <c r="H85">
        <v>0.71528540225194503</v>
      </c>
      <c r="I85" s="2">
        <f t="shared" si="2"/>
        <v>0.71923101282242974</v>
      </c>
      <c r="J85" s="2">
        <f t="shared" si="3"/>
        <v>3.9456105704847033E-3</v>
      </c>
    </row>
    <row r="86" spans="1:10" x14ac:dyDescent="0.3">
      <c r="A86">
        <v>0.56428</v>
      </c>
      <c r="B86">
        <v>1</v>
      </c>
      <c r="C86">
        <v>-7.8740157480315001E-2</v>
      </c>
      <c r="D86">
        <v>1</v>
      </c>
      <c r="E86">
        <v>1.0787401574803199</v>
      </c>
      <c r="F86">
        <v>0.47244094488188998</v>
      </c>
      <c r="G86">
        <v>0</v>
      </c>
      <c r="H86">
        <v>0.72308779058726702</v>
      </c>
      <c r="I86" s="2">
        <f t="shared" si="2"/>
        <v>0.71923101282242974</v>
      </c>
      <c r="J86" s="2">
        <f t="shared" si="3"/>
        <v>-3.8567777648372825E-3</v>
      </c>
    </row>
    <row r="87" spans="1:10" x14ac:dyDescent="0.3">
      <c r="A87">
        <v>0.56428</v>
      </c>
      <c r="B87">
        <v>1</v>
      </c>
      <c r="C87">
        <v>-0.118110236220472</v>
      </c>
      <c r="D87">
        <v>1</v>
      </c>
      <c r="E87">
        <v>1.11811023622047</v>
      </c>
      <c r="F87">
        <v>0.47244094488188998</v>
      </c>
      <c r="G87">
        <v>0</v>
      </c>
      <c r="H87">
        <v>0.74257917824394404</v>
      </c>
      <c r="I87" s="2">
        <f t="shared" si="2"/>
        <v>0.71923101282242974</v>
      </c>
      <c r="J87" s="2">
        <f t="shared" si="3"/>
        <v>-2.33481654215143E-2</v>
      </c>
    </row>
    <row r="88" spans="1:10" x14ac:dyDescent="0.3">
      <c r="A88">
        <v>0.56428</v>
      </c>
      <c r="B88">
        <v>1</v>
      </c>
      <c r="C88">
        <v>-0.196850393700787</v>
      </c>
      <c r="D88">
        <v>1</v>
      </c>
      <c r="E88">
        <v>1.1968503937007899</v>
      </c>
      <c r="F88">
        <v>0.47244094488188998</v>
      </c>
      <c r="G88">
        <v>0</v>
      </c>
      <c r="H88">
        <v>0.72910645524047701</v>
      </c>
      <c r="I88" s="2">
        <f t="shared" si="2"/>
        <v>0.71923101282242974</v>
      </c>
      <c r="J88" s="2">
        <f t="shared" si="3"/>
        <v>-9.8754424180472755E-3</v>
      </c>
    </row>
    <row r="89" spans="1:10" x14ac:dyDescent="0.3">
      <c r="A89">
        <v>0.56428</v>
      </c>
      <c r="B89">
        <v>1</v>
      </c>
      <c r="C89">
        <v>-0.23622047244094499</v>
      </c>
      <c r="D89">
        <v>1</v>
      </c>
      <c r="E89">
        <v>1.23622047244094</v>
      </c>
      <c r="F89">
        <v>0.47244094488188998</v>
      </c>
      <c r="G89">
        <v>0</v>
      </c>
      <c r="H89">
        <v>0.72547814731159699</v>
      </c>
      <c r="I89" s="2">
        <f t="shared" si="2"/>
        <v>0.71923101282242974</v>
      </c>
      <c r="J89" s="2">
        <f t="shared" si="3"/>
        <v>-6.2471344891672498E-3</v>
      </c>
    </row>
    <row r="90" spans="1:10" x14ac:dyDescent="0.3">
      <c r="A90">
        <v>0.56428</v>
      </c>
      <c r="B90">
        <v>1</v>
      </c>
      <c r="C90">
        <v>-0.27559055118110198</v>
      </c>
      <c r="D90">
        <v>1</v>
      </c>
      <c r="E90">
        <v>1.2755905511811001</v>
      </c>
      <c r="F90">
        <v>0.47244094488188998</v>
      </c>
      <c r="G90">
        <v>0</v>
      </c>
      <c r="H90">
        <v>0.76774339343831</v>
      </c>
      <c r="I90" s="2">
        <f t="shared" si="2"/>
        <v>0.71923101282242974</v>
      </c>
      <c r="J90" s="2">
        <f t="shared" si="3"/>
        <v>-4.8512380615880257E-2</v>
      </c>
    </row>
    <row r="91" spans="1:10" x14ac:dyDescent="0.3">
      <c r="A91">
        <v>0.56428</v>
      </c>
      <c r="B91">
        <v>1</v>
      </c>
      <c r="C91">
        <v>-0.31496062992126</v>
      </c>
      <c r="D91">
        <v>1</v>
      </c>
      <c r="E91">
        <v>1.3149606299212599</v>
      </c>
      <c r="F91">
        <v>0.47244094488188998</v>
      </c>
      <c r="G91">
        <v>0</v>
      </c>
      <c r="H91">
        <v>0.73541499296627999</v>
      </c>
      <c r="I91" s="2">
        <f t="shared" si="2"/>
        <v>0.71923101282242974</v>
      </c>
      <c r="J91" s="2">
        <f t="shared" si="3"/>
        <v>-1.6183980143850252E-2</v>
      </c>
    </row>
    <row r="92" spans="1:10" x14ac:dyDescent="0.3">
      <c r="A92">
        <v>0.56428</v>
      </c>
      <c r="B92">
        <v>1</v>
      </c>
      <c r="C92">
        <v>-0.35433070866141703</v>
      </c>
      <c r="D92">
        <v>1</v>
      </c>
      <c r="E92">
        <v>1.35433070866142</v>
      </c>
      <c r="F92">
        <v>0.47244094488188998</v>
      </c>
      <c r="G92">
        <v>0</v>
      </c>
      <c r="H92">
        <v>0.77744487386414796</v>
      </c>
      <c r="I92" s="2">
        <f t="shared" si="2"/>
        <v>0.71923101282242974</v>
      </c>
      <c r="J92" s="2">
        <f t="shared" si="3"/>
        <v>-5.8213861041718218E-2</v>
      </c>
    </row>
    <row r="93" spans="1:10" x14ac:dyDescent="0.3">
      <c r="A93">
        <v>0.56428</v>
      </c>
      <c r="B93">
        <v>1</v>
      </c>
      <c r="C93">
        <v>-0.39370078740157499</v>
      </c>
      <c r="D93">
        <v>1</v>
      </c>
      <c r="E93">
        <v>1.3937007874015701</v>
      </c>
      <c r="F93">
        <v>0.47244094488188998</v>
      </c>
      <c r="G93">
        <v>0</v>
      </c>
      <c r="H93">
        <v>0.71204736741845698</v>
      </c>
      <c r="I93" s="2">
        <f t="shared" si="2"/>
        <v>0.71923101282242974</v>
      </c>
      <c r="J93" s="2">
        <f t="shared" si="3"/>
        <v>7.1836454039727604E-3</v>
      </c>
    </row>
    <row r="94" spans="1:10" x14ac:dyDescent="0.3">
      <c r="A94">
        <v>0.56428</v>
      </c>
      <c r="B94">
        <v>1</v>
      </c>
      <c r="C94">
        <v>-0.47244094488188998</v>
      </c>
      <c r="D94">
        <v>1</v>
      </c>
      <c r="E94">
        <v>1.47244094488189</v>
      </c>
      <c r="F94">
        <v>0.47244094488188998</v>
      </c>
      <c r="G94">
        <v>0</v>
      </c>
      <c r="H94">
        <v>0.65809837844934305</v>
      </c>
      <c r="I94" s="2">
        <f t="shared" si="2"/>
        <v>0.71923101282242974</v>
      </c>
      <c r="J94" s="2">
        <f t="shared" si="3"/>
        <v>6.1132634373086692E-2</v>
      </c>
    </row>
    <row r="95" spans="1:10" x14ac:dyDescent="0.3">
      <c r="A95">
        <v>0.56428</v>
      </c>
      <c r="B95">
        <v>1</v>
      </c>
      <c r="C95">
        <v>-0.59055118110236204</v>
      </c>
      <c r="D95">
        <v>1</v>
      </c>
      <c r="E95">
        <v>1.59055118110236</v>
      </c>
      <c r="F95">
        <v>0.47244094488188998</v>
      </c>
      <c r="G95">
        <v>0</v>
      </c>
      <c r="H95">
        <v>0.66611289423098696</v>
      </c>
      <c r="I95" s="2">
        <f t="shared" si="2"/>
        <v>0.71923101282242974</v>
      </c>
      <c r="J95" s="2">
        <f t="shared" si="3"/>
        <v>5.3118118591442776E-2</v>
      </c>
    </row>
    <row r="96" spans="1:10" x14ac:dyDescent="0.3">
      <c r="A96">
        <v>0.26022155053158802</v>
      </c>
      <c r="B96">
        <v>0.52631578947368396</v>
      </c>
      <c r="C96">
        <v>-1.58635732698788E-3</v>
      </c>
      <c r="D96">
        <v>0.24083788509725501</v>
      </c>
      <c r="E96">
        <v>0.24242424242424199</v>
      </c>
      <c r="F96">
        <v>0.57575757575757602</v>
      </c>
      <c r="G96">
        <v>0.4</v>
      </c>
      <c r="H96">
        <v>0.84941363620810995</v>
      </c>
      <c r="I96" s="2">
        <f t="shared" si="2"/>
        <v>0.92625093442532225</v>
      </c>
      <c r="J96" s="2">
        <f t="shared" si="3"/>
        <v>7.6837298217212302E-2</v>
      </c>
    </row>
    <row r="97" spans="1:11" x14ac:dyDescent="0.3">
      <c r="A97">
        <v>0.26022155053158802</v>
      </c>
      <c r="B97">
        <v>0.52631578947368396</v>
      </c>
      <c r="C97">
        <v>-0.12727272727272701</v>
      </c>
      <c r="D97">
        <v>0.115151515151515</v>
      </c>
      <c r="E97">
        <v>0.24242424242424199</v>
      </c>
      <c r="F97">
        <v>0.57575757575757602</v>
      </c>
      <c r="G97">
        <v>0.4</v>
      </c>
      <c r="H97">
        <v>1.05554247406992</v>
      </c>
      <c r="I97" s="2">
        <f t="shared" si="2"/>
        <v>0.92627980325986381</v>
      </c>
      <c r="J97" s="2">
        <f t="shared" si="3"/>
        <v>-0.12926267081005616</v>
      </c>
    </row>
    <row r="98" spans="1:11" x14ac:dyDescent="0.3">
      <c r="A98">
        <v>0.26022155053158802</v>
      </c>
      <c r="B98">
        <v>0.52631578947368396</v>
      </c>
      <c r="C98">
        <v>-0.24242424242424199</v>
      </c>
      <c r="D98">
        <v>0</v>
      </c>
      <c r="E98">
        <v>0.24242424242424199</v>
      </c>
      <c r="F98">
        <v>0.57575757575757602</v>
      </c>
      <c r="G98">
        <v>0.4</v>
      </c>
      <c r="H98">
        <v>1.14317379361133</v>
      </c>
      <c r="I98" s="2">
        <f t="shared" si="2"/>
        <v>0.9263025580186186</v>
      </c>
      <c r="J98" s="2">
        <f t="shared" si="3"/>
        <v>-0.21687123559271138</v>
      </c>
    </row>
    <row r="99" spans="1:11" x14ac:dyDescent="0.3">
      <c r="A99">
        <v>0.35265771076355301</v>
      </c>
      <c r="B99">
        <v>0.25</v>
      </c>
      <c r="C99">
        <v>-0.1</v>
      </c>
      <c r="D99">
        <v>0</v>
      </c>
      <c r="E99">
        <v>0.1</v>
      </c>
      <c r="F99">
        <v>0.2</v>
      </c>
      <c r="G99">
        <v>1.6666666666666701</v>
      </c>
      <c r="H99">
        <v>0.411689657273693</v>
      </c>
      <c r="I99" s="2">
        <f t="shared" si="2"/>
        <v>0.71829927866924292</v>
      </c>
      <c r="J99" s="2">
        <f t="shared" si="3"/>
        <v>0.30660962139554993</v>
      </c>
    </row>
    <row r="100" spans="1:11" x14ac:dyDescent="0.3">
      <c r="A100">
        <v>0.35265771076355301</v>
      </c>
      <c r="B100">
        <v>0.25</v>
      </c>
      <c r="C100">
        <v>-8.6887835702995997E-4</v>
      </c>
      <c r="D100">
        <v>9.9131121642969999E-2</v>
      </c>
      <c r="E100">
        <v>0.1</v>
      </c>
      <c r="F100">
        <v>0.2</v>
      </c>
      <c r="G100">
        <v>0</v>
      </c>
      <c r="H100">
        <v>1.45203308936832</v>
      </c>
      <c r="I100" s="2">
        <f t="shared" si="2"/>
        <v>1.5738854996015201</v>
      </c>
      <c r="J100" s="2">
        <f t="shared" si="3"/>
        <v>0.12185241023320015</v>
      </c>
    </row>
    <row r="101" spans="1:11" x14ac:dyDescent="0.3">
      <c r="A101">
        <v>0.35265771076355301</v>
      </c>
      <c r="B101">
        <v>0.25</v>
      </c>
      <c r="C101">
        <v>-2.75276461295418E-2</v>
      </c>
      <c r="D101">
        <v>7.2472353870458195E-2</v>
      </c>
      <c r="E101">
        <v>0.1</v>
      </c>
      <c r="F101">
        <v>0.2</v>
      </c>
      <c r="G101">
        <v>0</v>
      </c>
      <c r="H101">
        <v>1.7291241739071099</v>
      </c>
      <c r="I101" s="2">
        <f t="shared" si="2"/>
        <v>1.5883184756991875</v>
      </c>
      <c r="J101" s="2">
        <f t="shared" si="3"/>
        <v>-0.14080569820792244</v>
      </c>
    </row>
    <row r="102" spans="1:11" x14ac:dyDescent="0.3">
      <c r="A102">
        <v>0.35265771076355301</v>
      </c>
      <c r="B102">
        <v>0.25</v>
      </c>
      <c r="C102">
        <v>-0.1</v>
      </c>
      <c r="D102">
        <v>0</v>
      </c>
      <c r="E102">
        <v>0.1</v>
      </c>
      <c r="F102">
        <v>0.2</v>
      </c>
      <c r="G102">
        <v>0</v>
      </c>
      <c r="H102">
        <v>1.63259671311122</v>
      </c>
      <c r="I102" s="2">
        <f t="shared" si="2"/>
        <v>1.6252121294347357</v>
      </c>
      <c r="J102" s="2">
        <f t="shared" si="3"/>
        <v>-7.3845836764843131E-3</v>
      </c>
    </row>
    <row r="103" spans="1:11" x14ac:dyDescent="0.3">
      <c r="A103">
        <v>0.24866889861532601</v>
      </c>
      <c r="B103">
        <v>0.32</v>
      </c>
      <c r="C103">
        <v>-0.5</v>
      </c>
      <c r="D103">
        <v>0</v>
      </c>
      <c r="E103">
        <v>0.5</v>
      </c>
      <c r="F103">
        <v>1.5</v>
      </c>
      <c r="G103">
        <v>1.0625</v>
      </c>
      <c r="H103">
        <v>1.04572829309309</v>
      </c>
      <c r="I103" s="2">
        <f t="shared" si="2"/>
        <v>1.0595561574009391</v>
      </c>
      <c r="J103" s="2">
        <f t="shared" si="3"/>
        <v>1.3827864307849103E-2</v>
      </c>
    </row>
    <row r="104" spans="1:11" x14ac:dyDescent="0.3">
      <c r="A104">
        <v>0.368816399721904</v>
      </c>
      <c r="B104">
        <v>0.25</v>
      </c>
      <c r="C104">
        <v>-0.12</v>
      </c>
      <c r="D104">
        <v>0.12</v>
      </c>
      <c r="E104">
        <v>0.24</v>
      </c>
      <c r="F104">
        <v>0.48</v>
      </c>
      <c r="G104">
        <v>0.86666666666666703</v>
      </c>
      <c r="H104">
        <v>1.4600220305909</v>
      </c>
      <c r="I104" s="2">
        <f t="shared" si="2"/>
        <v>0.62147397094667312</v>
      </c>
      <c r="J104" s="2">
        <f t="shared" si="3"/>
        <v>-0.83854805964422685</v>
      </c>
    </row>
    <row r="105" spans="1:11" x14ac:dyDescent="0.3">
      <c r="A105">
        <v>0.368816399721904</v>
      </c>
      <c r="B105">
        <v>0.25</v>
      </c>
      <c r="C105">
        <v>-0.24</v>
      </c>
      <c r="D105">
        <v>0</v>
      </c>
      <c r="E105">
        <v>0.24</v>
      </c>
      <c r="F105">
        <v>0.48</v>
      </c>
      <c r="G105">
        <v>0.86666666666666703</v>
      </c>
      <c r="H105">
        <v>0.88404045518559304</v>
      </c>
      <c r="I105" s="2">
        <f t="shared" si="2"/>
        <v>0.62147397962334949</v>
      </c>
      <c r="J105" s="2">
        <f t="shared" si="3"/>
        <v>-0.26256647556224355</v>
      </c>
    </row>
    <row r="106" spans="1:11" x14ac:dyDescent="0.3">
      <c r="A106">
        <v>0.6851488</v>
      </c>
      <c r="B106">
        <v>0.6</v>
      </c>
      <c r="C106">
        <v>-0.12</v>
      </c>
      <c r="D106">
        <v>0.12</v>
      </c>
      <c r="E106">
        <v>0.24</v>
      </c>
      <c r="F106">
        <v>0.2</v>
      </c>
      <c r="G106">
        <v>0.33333333333333298</v>
      </c>
      <c r="H106">
        <v>1.74722420826812</v>
      </c>
      <c r="I106" s="2">
        <f t="shared" si="2"/>
        <v>1.8249324124231165</v>
      </c>
      <c r="J106" s="2">
        <f t="shared" si="3"/>
        <v>7.7708204154996574E-2</v>
      </c>
    </row>
    <row r="107" spans="1:11" x14ac:dyDescent="0.3">
      <c r="A107" t="s">
        <v>2</v>
      </c>
      <c r="B107" t="s">
        <v>3</v>
      </c>
      <c r="C107" t="s">
        <v>4</v>
      </c>
      <c r="D107" t="s">
        <v>5</v>
      </c>
      <c r="E107" t="s">
        <v>6</v>
      </c>
      <c r="F107" t="s">
        <v>7</v>
      </c>
      <c r="G107" t="s">
        <v>8</v>
      </c>
      <c r="H107" t="s">
        <v>9</v>
      </c>
      <c r="I107" s="2" t="e">
        <f t="shared" si="2"/>
        <v>#VALUE!</v>
      </c>
      <c r="J107" s="2" t="e">
        <f t="shared" si="3"/>
        <v>#VALUE!</v>
      </c>
    </row>
    <row r="108" spans="1:11" x14ac:dyDescent="0.3">
      <c r="A108">
        <v>0.319090064269206</v>
      </c>
      <c r="B108">
        <v>0.24444444444444399</v>
      </c>
      <c r="C108">
        <v>-0.20512557531313699</v>
      </c>
      <c r="D108">
        <v>0</v>
      </c>
      <c r="E108">
        <v>0.20512557531313699</v>
      </c>
      <c r="F108">
        <v>0.57691568056819797</v>
      </c>
      <c r="G108">
        <v>0.68181818181818199</v>
      </c>
      <c r="H108">
        <v>0.457843147672645</v>
      </c>
      <c r="I108" s="2">
        <f t="shared" si="2"/>
        <v>0.5973273630483561</v>
      </c>
      <c r="J108" s="2">
        <f t="shared" si="3"/>
        <v>0.1394842153757111</v>
      </c>
      <c r="K108">
        <f>SQRT(SUMSQ(J108:J132)/COUNT(J108:J132))</f>
        <v>0.22564698136869837</v>
      </c>
    </row>
    <row r="109" spans="1:11" x14ac:dyDescent="0.3">
      <c r="A109">
        <v>0.319090064269206</v>
      </c>
      <c r="B109">
        <v>0.24444444444444399</v>
      </c>
      <c r="C109">
        <v>-0.16236363636363599</v>
      </c>
      <c r="D109">
        <v>4.5428571428571402E-2</v>
      </c>
      <c r="E109">
        <v>0.207792207792208</v>
      </c>
      <c r="F109">
        <v>0.58441558441558406</v>
      </c>
      <c r="G109">
        <v>0.68181818181818199</v>
      </c>
      <c r="H109">
        <v>0.42167581154280298</v>
      </c>
      <c r="I109" s="2">
        <f t="shared" si="2"/>
        <v>0.59223288485910497</v>
      </c>
      <c r="J109" s="2">
        <f t="shared" si="3"/>
        <v>0.17055707331630199</v>
      </c>
    </row>
    <row r="110" spans="1:11" x14ac:dyDescent="0.3">
      <c r="A110">
        <v>0.319090064269206</v>
      </c>
      <c r="B110">
        <v>0.24444444444444399</v>
      </c>
      <c r="C110">
        <v>-0.12085419379085401</v>
      </c>
      <c r="D110">
        <v>9.3902258969437505E-2</v>
      </c>
      <c r="E110">
        <v>0.21475645276029201</v>
      </c>
      <c r="F110">
        <v>0.60400252338831995</v>
      </c>
      <c r="G110">
        <v>0.68181818181818199</v>
      </c>
      <c r="H110">
        <v>0.61014677269060902</v>
      </c>
      <c r="I110" s="2">
        <f t="shared" si="2"/>
        <v>0.57935160614590497</v>
      </c>
      <c r="J110" s="2">
        <f t="shared" si="3"/>
        <v>-3.0795166544704045E-2</v>
      </c>
    </row>
    <row r="111" spans="1:11" x14ac:dyDescent="0.3">
      <c r="A111">
        <v>0.319090064269206</v>
      </c>
      <c r="B111">
        <v>0.24444444444444399</v>
      </c>
      <c r="C111">
        <v>-9.3362489666391102E-2</v>
      </c>
      <c r="D111">
        <v>0.119976532707539</v>
      </c>
      <c r="E111">
        <v>0.21333902237392999</v>
      </c>
      <c r="F111">
        <v>0.60001600042667802</v>
      </c>
      <c r="G111">
        <v>0.68181818181818199</v>
      </c>
      <c r="H111">
        <v>0.58424653932453197</v>
      </c>
      <c r="I111" s="2">
        <f t="shared" si="2"/>
        <v>0.58192634607923166</v>
      </c>
      <c r="J111" s="2">
        <f t="shared" si="3"/>
        <v>-2.320193245300306E-3</v>
      </c>
    </row>
    <row r="112" spans="1:11" x14ac:dyDescent="0.3">
      <c r="A112">
        <v>0.319090064269206</v>
      </c>
      <c r="B112">
        <v>0.24444444444444399</v>
      </c>
      <c r="C112">
        <v>-9.8646034816247605E-2</v>
      </c>
      <c r="D112">
        <v>0.111883051092778</v>
      </c>
      <c r="E112">
        <v>0.210529085909025</v>
      </c>
      <c r="F112">
        <v>0.59211305411913295</v>
      </c>
      <c r="G112">
        <v>0.68181818181818199</v>
      </c>
      <c r="H112">
        <v>0.837477249344319</v>
      </c>
      <c r="I112" s="2">
        <f t="shared" si="2"/>
        <v>0.5871002030225565</v>
      </c>
      <c r="J112" s="2">
        <f t="shared" si="3"/>
        <v>-0.2503770463217625</v>
      </c>
    </row>
    <row r="113" spans="1:10" x14ac:dyDescent="0.3">
      <c r="A113">
        <v>0.319090064269206</v>
      </c>
      <c r="B113">
        <v>0.24444444444444399</v>
      </c>
      <c r="C113">
        <v>-6.0068268487159703E-2</v>
      </c>
      <c r="D113">
        <v>0.15327075388677</v>
      </c>
      <c r="E113">
        <v>0.21333902237392999</v>
      </c>
      <c r="F113">
        <v>0.60001600042667802</v>
      </c>
      <c r="G113">
        <v>0.68181818181818199</v>
      </c>
      <c r="H113">
        <v>0.792925168502427</v>
      </c>
      <c r="I113" s="2">
        <f t="shared" si="2"/>
        <v>0.5819262921672641</v>
      </c>
      <c r="J113" s="2">
        <f t="shared" si="3"/>
        <v>-0.2109988763351629</v>
      </c>
    </row>
    <row r="114" spans="1:10" x14ac:dyDescent="0.3">
      <c r="A114">
        <v>0.319090064269206</v>
      </c>
      <c r="B114">
        <v>0.24444444444444399</v>
      </c>
      <c r="C114">
        <v>-2.6804289760143901E-2</v>
      </c>
      <c r="D114">
        <v>0.187952163000148</v>
      </c>
      <c r="E114">
        <v>0.21475645276029201</v>
      </c>
      <c r="F114">
        <v>0.60400252338831995</v>
      </c>
      <c r="G114">
        <v>0.68181818181818199</v>
      </c>
      <c r="H114">
        <v>0.98807085347187595</v>
      </c>
      <c r="I114" s="2">
        <f t="shared" si="2"/>
        <v>0.57935145371175722</v>
      </c>
      <c r="J114" s="2">
        <f t="shared" si="3"/>
        <v>-0.40871939976011873</v>
      </c>
    </row>
    <row r="115" spans="1:10" x14ac:dyDescent="0.3">
      <c r="A115">
        <v>0.30376590132493603</v>
      </c>
      <c r="B115">
        <v>0.46666666666666701</v>
      </c>
      <c r="C115">
        <v>-0.253430411649398</v>
      </c>
      <c r="D115">
        <v>2.6603192383086002E-2</v>
      </c>
      <c r="E115">
        <v>0.28003360403248401</v>
      </c>
      <c r="F115">
        <v>0.60007200864103705</v>
      </c>
      <c r="G115">
        <v>0.59523809523809501</v>
      </c>
      <c r="H115">
        <v>0.86901590987434396</v>
      </c>
      <c r="I115" s="2">
        <f t="shared" si="2"/>
        <v>0.81558448632503744</v>
      </c>
      <c r="J115" s="2">
        <f t="shared" si="3"/>
        <v>-5.3431423549306523E-2</v>
      </c>
    </row>
    <row r="116" spans="1:10" x14ac:dyDescent="0.3">
      <c r="A116">
        <v>0.33472366352331001</v>
      </c>
      <c r="B116">
        <v>0.17777777777777801</v>
      </c>
      <c r="C116">
        <v>-1.4084507042253501E-2</v>
      </c>
      <c r="D116">
        <v>0.147887323943662</v>
      </c>
      <c r="E116">
        <v>0.161971830985915</v>
      </c>
      <c r="F116">
        <v>0.63380281690140805</v>
      </c>
      <c r="G116">
        <v>0.9375</v>
      </c>
      <c r="H116">
        <v>0.41735547829339997</v>
      </c>
      <c r="I116" s="2">
        <f t="shared" si="2"/>
        <v>0.32875618615892677</v>
      </c>
      <c r="J116" s="2">
        <f t="shared" si="3"/>
        <v>-8.8599292134473207E-2</v>
      </c>
    </row>
    <row r="117" spans="1:10" x14ac:dyDescent="0.3">
      <c r="A117">
        <v>0.33472366352331001</v>
      </c>
      <c r="B117">
        <v>0.17777777777777801</v>
      </c>
      <c r="C117">
        <v>-1.41843971631206E-2</v>
      </c>
      <c r="D117">
        <v>0.14893617021276601</v>
      </c>
      <c r="E117">
        <v>0.16312056737588701</v>
      </c>
      <c r="F117">
        <v>0.63829787234042601</v>
      </c>
      <c r="G117">
        <v>0.9375</v>
      </c>
      <c r="H117">
        <v>0.56527363967257205</v>
      </c>
      <c r="I117" s="2">
        <f t="shared" si="2"/>
        <v>0.32602795797796524</v>
      </c>
      <c r="J117" s="2">
        <f t="shared" si="3"/>
        <v>-0.2392456816946068</v>
      </c>
    </row>
    <row r="118" spans="1:10" x14ac:dyDescent="0.3">
      <c r="A118">
        <v>0.34186098845408902</v>
      </c>
      <c r="B118">
        <v>0.17777777777777801</v>
      </c>
      <c r="C118">
        <v>-8.6330935251798593E-2</v>
      </c>
      <c r="D118">
        <v>7.9136690647481994E-2</v>
      </c>
      <c r="E118">
        <v>0.16546762589928099</v>
      </c>
      <c r="F118">
        <v>0.64748201438848896</v>
      </c>
      <c r="G118">
        <v>0.9375</v>
      </c>
      <c r="H118">
        <v>0.57836946999178995</v>
      </c>
      <c r="I118" s="2">
        <f t="shared" si="2"/>
        <v>0.32048211085997674</v>
      </c>
      <c r="J118" s="2">
        <f t="shared" si="3"/>
        <v>-0.25788735913181321</v>
      </c>
    </row>
    <row r="119" spans="1:10" x14ac:dyDescent="0.3">
      <c r="A119">
        <v>0.27511404478700902</v>
      </c>
      <c r="B119">
        <v>0.37853107344632803</v>
      </c>
      <c r="C119">
        <v>-0.120833333333333</v>
      </c>
      <c r="D119">
        <v>0.34166666666666701</v>
      </c>
      <c r="E119">
        <v>0.46250000000000002</v>
      </c>
      <c r="F119">
        <v>0.73750000000000004</v>
      </c>
      <c r="G119">
        <v>1.4029850746268699</v>
      </c>
      <c r="H119">
        <v>0.64669858790286405</v>
      </c>
      <c r="I119" s="2">
        <f t="shared" si="2"/>
        <v>0.52393305095986764</v>
      </c>
      <c r="J119" s="2">
        <f t="shared" si="3"/>
        <v>-0.12276553694299641</v>
      </c>
    </row>
    <row r="120" spans="1:10" x14ac:dyDescent="0.3">
      <c r="A120">
        <v>0.44558618529625499</v>
      </c>
      <c r="B120">
        <v>0.55000000000000004</v>
      </c>
      <c r="C120">
        <v>-0.55000000000000004</v>
      </c>
      <c r="D120">
        <v>0.05</v>
      </c>
      <c r="E120">
        <v>0.6</v>
      </c>
      <c r="F120">
        <v>1</v>
      </c>
      <c r="G120">
        <v>0.40909090909090901</v>
      </c>
      <c r="H120">
        <v>0.81834819940776604</v>
      </c>
      <c r="I120" s="2">
        <f t="shared" si="2"/>
        <v>0.76489321080461847</v>
      </c>
      <c r="J120" s="2">
        <f t="shared" si="3"/>
        <v>-5.3454988603147569E-2</v>
      </c>
    </row>
    <row r="121" spans="1:10" x14ac:dyDescent="0.3">
      <c r="A121">
        <v>0.44558618529625499</v>
      </c>
      <c r="B121">
        <v>0.55000000000000004</v>
      </c>
      <c r="C121">
        <v>-0.115</v>
      </c>
      <c r="D121">
        <v>0.33500000000000002</v>
      </c>
      <c r="E121">
        <v>0.45</v>
      </c>
      <c r="F121">
        <v>1</v>
      </c>
      <c r="G121">
        <v>0.40909090909090901</v>
      </c>
      <c r="H121">
        <v>0.73352993281467005</v>
      </c>
      <c r="I121" s="2">
        <f t="shared" si="2"/>
        <v>0.76484589925459967</v>
      </c>
      <c r="J121" s="2">
        <f t="shared" si="3"/>
        <v>3.1315966439929621E-2</v>
      </c>
    </row>
    <row r="122" spans="1:10" x14ac:dyDescent="0.3">
      <c r="A122">
        <v>0.44558618529625499</v>
      </c>
      <c r="B122">
        <v>0.55000000000000004</v>
      </c>
      <c r="C122">
        <v>-0.3</v>
      </c>
      <c r="D122">
        <v>0</v>
      </c>
      <c r="E122">
        <v>0.3</v>
      </c>
      <c r="F122">
        <v>1</v>
      </c>
      <c r="G122">
        <v>0.40909090909090901</v>
      </c>
      <c r="H122">
        <v>0.74611805399595299</v>
      </c>
      <c r="I122" s="2">
        <f t="shared" si="2"/>
        <v>0.76489991105489474</v>
      </c>
      <c r="J122" s="2">
        <f t="shared" si="3"/>
        <v>1.8781857058941753E-2</v>
      </c>
    </row>
    <row r="123" spans="1:10" x14ac:dyDescent="0.3">
      <c r="A123">
        <v>0.59769387755101999</v>
      </c>
      <c r="B123">
        <v>1</v>
      </c>
      <c r="C123">
        <v>-0.13</v>
      </c>
      <c r="D123">
        <v>1.01</v>
      </c>
      <c r="E123">
        <v>1.1299999999999999</v>
      </c>
      <c r="F123">
        <v>0.49</v>
      </c>
      <c r="G123">
        <v>0.20408163265306101</v>
      </c>
      <c r="H123">
        <v>1.2602778295344099</v>
      </c>
      <c r="I123" s="2">
        <f t="shared" si="2"/>
        <v>1.1688571099078158</v>
      </c>
      <c r="J123" s="2">
        <f t="shared" si="3"/>
        <v>-9.1420719626594149E-2</v>
      </c>
    </row>
    <row r="124" spans="1:10" x14ac:dyDescent="0.3">
      <c r="A124">
        <v>0.59769387755101999</v>
      </c>
      <c r="B124">
        <v>1</v>
      </c>
      <c r="C124">
        <v>-0.18</v>
      </c>
      <c r="D124">
        <v>1.01</v>
      </c>
      <c r="E124">
        <v>1.18</v>
      </c>
      <c r="F124">
        <v>0.49</v>
      </c>
      <c r="G124">
        <v>0.20408163265306101</v>
      </c>
      <c r="H124">
        <v>1.3509022867428599</v>
      </c>
      <c r="I124" s="2">
        <f t="shared" si="2"/>
        <v>1.1688571099078158</v>
      </c>
      <c r="J124" s="2">
        <f t="shared" si="3"/>
        <v>-0.18204517683504418</v>
      </c>
    </row>
    <row r="125" spans="1:10" x14ac:dyDescent="0.3">
      <c r="A125">
        <v>0.27245455366140803</v>
      </c>
      <c r="B125">
        <v>0.5</v>
      </c>
      <c r="C125">
        <v>-0.683760683760684</v>
      </c>
      <c r="D125">
        <v>0</v>
      </c>
      <c r="E125">
        <v>0.683760683760684</v>
      </c>
      <c r="F125">
        <v>2.0512820512820502</v>
      </c>
      <c r="G125">
        <v>0.5</v>
      </c>
      <c r="H125">
        <v>0.66031476825194901</v>
      </c>
      <c r="I125" s="2">
        <f t="shared" si="2"/>
        <v>0.65631704357481313</v>
      </c>
      <c r="J125" s="2">
        <f t="shared" si="3"/>
        <v>-3.9977246771358832E-3</v>
      </c>
    </row>
    <row r="126" spans="1:10" x14ac:dyDescent="0.3">
      <c r="A126">
        <v>0.24866889861532601</v>
      </c>
      <c r="B126">
        <v>0.5</v>
      </c>
      <c r="C126">
        <v>-0.53333333333333299</v>
      </c>
      <c r="D126">
        <v>0</v>
      </c>
      <c r="E126">
        <v>0.53333333333333299</v>
      </c>
      <c r="F126">
        <v>1.6</v>
      </c>
      <c r="G126">
        <v>0.5</v>
      </c>
      <c r="H126">
        <v>0.50036934082131501</v>
      </c>
      <c r="I126" s="2">
        <f t="shared" si="2"/>
        <v>0.69021152589442913</v>
      </c>
      <c r="J126" s="2">
        <f t="shared" si="3"/>
        <v>0.18984218507311412</v>
      </c>
    </row>
    <row r="127" spans="1:10" x14ac:dyDescent="0.3">
      <c r="A127">
        <v>0.24866889861532601</v>
      </c>
      <c r="B127">
        <v>0.5</v>
      </c>
      <c r="C127">
        <v>-0.36697247706421998</v>
      </c>
      <c r="D127">
        <v>0</v>
      </c>
      <c r="E127">
        <v>0.36697247706421998</v>
      </c>
      <c r="F127">
        <v>1.1009174311926599</v>
      </c>
      <c r="G127">
        <v>0.5</v>
      </c>
      <c r="H127">
        <v>0.54046375068896702</v>
      </c>
      <c r="I127" s="2">
        <f t="shared" si="2"/>
        <v>0.68391649375559949</v>
      </c>
      <c r="J127" s="2">
        <f t="shared" si="3"/>
        <v>0.14345274306663247</v>
      </c>
    </row>
    <row r="128" spans="1:10" x14ac:dyDescent="0.3">
      <c r="A128">
        <v>0.24866889861532601</v>
      </c>
      <c r="B128">
        <v>0.5</v>
      </c>
      <c r="C128">
        <v>-0.27397260273972601</v>
      </c>
      <c r="D128">
        <v>0</v>
      </c>
      <c r="E128">
        <v>0.27397260273972601</v>
      </c>
      <c r="F128">
        <v>0.82191780821917804</v>
      </c>
      <c r="G128">
        <v>0.5</v>
      </c>
      <c r="H128">
        <v>0.85984788810671797</v>
      </c>
      <c r="I128" s="2">
        <f t="shared" si="2"/>
        <v>0.76080057619284969</v>
      </c>
      <c r="J128" s="2">
        <f t="shared" si="3"/>
        <v>-9.9047311913868286E-2</v>
      </c>
    </row>
    <row r="129" spans="1:10" x14ac:dyDescent="0.3">
      <c r="A129">
        <v>0.56428</v>
      </c>
      <c r="B129">
        <v>1</v>
      </c>
      <c r="C129">
        <v>-0.15748031496063</v>
      </c>
      <c r="D129">
        <v>1</v>
      </c>
      <c r="E129">
        <v>1.1574803149606301</v>
      </c>
      <c r="F129">
        <v>0.47244094488188998</v>
      </c>
      <c r="G129">
        <v>0</v>
      </c>
      <c r="H129">
        <v>0.71556194610519297</v>
      </c>
      <c r="I129" s="2">
        <f t="shared" si="2"/>
        <v>0.71923101282242974</v>
      </c>
      <c r="J129" s="2">
        <f t="shared" si="3"/>
        <v>3.6690667172367686E-3</v>
      </c>
    </row>
    <row r="130" spans="1:10" x14ac:dyDescent="0.3">
      <c r="A130">
        <v>0.56428</v>
      </c>
      <c r="B130">
        <v>1</v>
      </c>
      <c r="C130">
        <v>-0.43307086614173201</v>
      </c>
      <c r="D130">
        <v>1</v>
      </c>
      <c r="E130">
        <v>1.43307086614173</v>
      </c>
      <c r="F130">
        <v>0.47244094488188998</v>
      </c>
      <c r="G130">
        <v>0</v>
      </c>
      <c r="H130">
        <v>0.74756854638581205</v>
      </c>
      <c r="I130" s="2">
        <f t="shared" si="2"/>
        <v>0.71923101282242974</v>
      </c>
      <c r="J130" s="2">
        <f t="shared" si="3"/>
        <v>-2.8337533563382311E-2</v>
      </c>
    </row>
    <row r="131" spans="1:10" x14ac:dyDescent="0.3">
      <c r="A131">
        <v>0.35265771076355301</v>
      </c>
      <c r="B131">
        <v>0.25</v>
      </c>
      <c r="C131">
        <v>-9.8005203816130693E-3</v>
      </c>
      <c r="D131">
        <v>9.0199479618386896E-2</v>
      </c>
      <c r="E131">
        <v>0.1</v>
      </c>
      <c r="F131">
        <v>0.2</v>
      </c>
      <c r="G131">
        <v>1.6666666666666701</v>
      </c>
      <c r="H131">
        <v>1.4339846969549801</v>
      </c>
      <c r="I131" s="2">
        <f t="shared" ref="I131:I132" si="4">case4_(A131,B131,C131,D131,E131,F131,G131)</f>
        <v>0.7182992786692286</v>
      </c>
      <c r="J131" s="2">
        <f t="shared" ref="J131:J132" si="5">I131-H131</f>
        <v>-0.7156854182857515</v>
      </c>
    </row>
    <row r="132" spans="1:10" x14ac:dyDescent="0.3">
      <c r="A132">
        <v>0.24866889861532601</v>
      </c>
      <c r="B132">
        <v>0.32</v>
      </c>
      <c r="C132">
        <v>-0.23</v>
      </c>
      <c r="D132">
        <v>0.27</v>
      </c>
      <c r="E132">
        <v>0.5</v>
      </c>
      <c r="F132">
        <v>1.5</v>
      </c>
      <c r="G132">
        <v>1.0625</v>
      </c>
      <c r="H132">
        <v>1.47726083065011</v>
      </c>
      <c r="I132" s="2">
        <f t="shared" si="4"/>
        <v>1.0595561578600652</v>
      </c>
      <c r="J132" s="2">
        <f t="shared" si="5"/>
        <v>-0.41770467279004486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R77"/>
  <sheetViews>
    <sheetView workbookViewId="0">
      <selection activeCell="I4" sqref="I4"/>
    </sheetView>
  </sheetViews>
  <sheetFormatPr defaultRowHeight="14.4" x14ac:dyDescent="0.3"/>
  <sheetData>
    <row r="3" spans="1:18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</row>
    <row r="4" spans="1:18" x14ac:dyDescent="0.3">
      <c r="A4">
        <v>0.319090064269206</v>
      </c>
      <c r="B4">
        <v>0.24444444444444399</v>
      </c>
      <c r="C4">
        <v>-0.39402396979149601</v>
      </c>
      <c r="D4">
        <v>-0.37317353472336201</v>
      </c>
      <c r="E4">
        <v>2.0850435068133201E-2</v>
      </c>
      <c r="F4">
        <v>0.67163176669004898</v>
      </c>
      <c r="G4">
        <v>0.68181818181818199</v>
      </c>
      <c r="H4">
        <v>0.83928188310499696</v>
      </c>
      <c r="I4">
        <f>case5_(A4,B4,C4,D4,E4,F4,G4)</f>
        <v>0.79028801478922228</v>
      </c>
      <c r="J4">
        <f>I4-H4</f>
        <v>-4.899386831577468E-2</v>
      </c>
      <c r="K4" s="2">
        <f>SQRT(SUMSQ(J4:J62)/COUNT(J4:J62))</f>
        <v>0.14097790641435323</v>
      </c>
      <c r="L4" s="2">
        <f>K64</f>
        <v>0.19680927860651601</v>
      </c>
    </row>
    <row r="5" spans="1:18" x14ac:dyDescent="0.3">
      <c r="A5">
        <v>0.319090064269206</v>
      </c>
      <c r="B5">
        <v>0.24444444444444399</v>
      </c>
      <c r="C5">
        <v>-0.23687153778339201</v>
      </c>
      <c r="D5">
        <v>-2.6342451874366801E-2</v>
      </c>
      <c r="E5">
        <v>0.210529085909025</v>
      </c>
      <c r="F5">
        <v>0.59211305411913295</v>
      </c>
      <c r="G5">
        <v>0.68181818181818199</v>
      </c>
      <c r="H5">
        <v>0.15840728555555</v>
      </c>
      <c r="I5">
        <f t="shared" ref="I5:I68" si="0">case5_(A5,B5,C5,D5,E5,F5,G5)</f>
        <v>0.47635581981745728</v>
      </c>
      <c r="J5">
        <f t="shared" ref="J5:J68" si="1">I5-H5</f>
        <v>0.31794853426190728</v>
      </c>
      <c r="O5">
        <v>10</v>
      </c>
      <c r="P5">
        <v>25</v>
      </c>
      <c r="Q5">
        <v>0.14000000000000001</v>
      </c>
      <c r="R5">
        <v>0.2</v>
      </c>
    </row>
    <row r="6" spans="1:18" x14ac:dyDescent="0.3">
      <c r="A6">
        <v>0.30376590132493603</v>
      </c>
      <c r="B6">
        <v>0.46666666666666701</v>
      </c>
      <c r="C6">
        <v>-0.672080649677961</v>
      </c>
      <c r="D6">
        <v>-0.53346401568188195</v>
      </c>
      <c r="E6">
        <v>0.13861663399607899</v>
      </c>
      <c r="F6">
        <v>0.60007200864103705</v>
      </c>
      <c r="G6">
        <v>0.59523809523809501</v>
      </c>
      <c r="H6">
        <v>0.61921633309562596</v>
      </c>
      <c r="I6">
        <f t="shared" si="0"/>
        <v>0.85879197233798288</v>
      </c>
      <c r="J6">
        <f t="shared" si="1"/>
        <v>0.23957563924235692</v>
      </c>
    </row>
    <row r="7" spans="1:18" x14ac:dyDescent="0.3">
      <c r="A7">
        <v>0.30376590132493603</v>
      </c>
      <c r="B7">
        <v>0.46666666666666701</v>
      </c>
      <c r="C7">
        <v>-0.66759388038943002</v>
      </c>
      <c r="D7">
        <v>-0.59610570236439497</v>
      </c>
      <c r="E7">
        <v>7.1488178025034793E-2</v>
      </c>
      <c r="F7">
        <v>0.59606596463341899</v>
      </c>
      <c r="G7">
        <v>0.59523809523809501</v>
      </c>
      <c r="H7">
        <v>0.59663993146710204</v>
      </c>
      <c r="I7">
        <f t="shared" si="0"/>
        <v>0.92053013033890052</v>
      </c>
      <c r="J7">
        <f t="shared" si="1"/>
        <v>0.32389019887179848</v>
      </c>
    </row>
    <row r="8" spans="1:18" x14ac:dyDescent="0.3">
      <c r="A8">
        <v>0.30376590132493603</v>
      </c>
      <c r="B8">
        <v>0.46666666666666701</v>
      </c>
      <c r="C8">
        <v>-0.348715114672561</v>
      </c>
      <c r="D8">
        <v>-7.2395689416966003E-2</v>
      </c>
      <c r="E8">
        <v>0.276319425255595</v>
      </c>
      <c r="F8">
        <v>0.59211305411913295</v>
      </c>
      <c r="G8">
        <v>0.59523809523809501</v>
      </c>
      <c r="H8">
        <v>0.62236290903029701</v>
      </c>
      <c r="I8">
        <f t="shared" si="0"/>
        <v>0.5814691839862256</v>
      </c>
      <c r="J8">
        <f t="shared" si="1"/>
        <v>-4.0893725044071405E-2</v>
      </c>
    </row>
    <row r="9" spans="1:18" x14ac:dyDescent="0.3">
      <c r="A9">
        <v>0.30376590132493603</v>
      </c>
      <c r="B9">
        <v>0.46666666666666701</v>
      </c>
      <c r="C9">
        <v>-0.55391600454029499</v>
      </c>
      <c r="D9">
        <v>-0.27014755959137299</v>
      </c>
      <c r="E9">
        <v>0.28376844494892201</v>
      </c>
      <c r="F9">
        <v>0.60807523917626105</v>
      </c>
      <c r="G9">
        <v>0.59523809523809501</v>
      </c>
      <c r="H9">
        <v>0.34171514925233298</v>
      </c>
      <c r="I9">
        <f t="shared" si="0"/>
        <v>0.63267385391830855</v>
      </c>
      <c r="J9">
        <f t="shared" si="1"/>
        <v>0.29095870466597556</v>
      </c>
    </row>
    <row r="10" spans="1:18" x14ac:dyDescent="0.3">
      <c r="A10">
        <v>0.30376590132493603</v>
      </c>
      <c r="B10">
        <v>0.46666666666666701</v>
      </c>
      <c r="C10">
        <v>-0.44843568945538798</v>
      </c>
      <c r="D10">
        <v>-0.158748551564311</v>
      </c>
      <c r="E10">
        <v>0.28968713789107797</v>
      </c>
      <c r="F10">
        <v>0.62075815262373801</v>
      </c>
      <c r="G10">
        <v>0.59523809523809501</v>
      </c>
      <c r="H10">
        <v>0.44769671727960397</v>
      </c>
      <c r="I10">
        <f t="shared" si="0"/>
        <v>0.5933898818181591</v>
      </c>
      <c r="J10">
        <f t="shared" si="1"/>
        <v>0.14569316453855513</v>
      </c>
    </row>
    <row r="11" spans="1:18" x14ac:dyDescent="0.3">
      <c r="A11">
        <v>0</v>
      </c>
      <c r="B11">
        <v>0.17777777777777801</v>
      </c>
      <c r="C11">
        <v>-0.28235294117647097</v>
      </c>
      <c r="D11">
        <v>-0.220588235294118</v>
      </c>
      <c r="E11">
        <v>6.1764705882352902E-2</v>
      </c>
      <c r="F11">
        <v>0.66176470588235303</v>
      </c>
      <c r="G11">
        <v>0.75</v>
      </c>
      <c r="H11">
        <v>0.767725683042495</v>
      </c>
      <c r="I11">
        <f t="shared" si="0"/>
        <v>0.68239419963330672</v>
      </c>
      <c r="J11">
        <f t="shared" si="1"/>
        <v>-8.533148340918828E-2</v>
      </c>
    </row>
    <row r="12" spans="1:18" x14ac:dyDescent="0.3">
      <c r="A12">
        <v>0.40768003860124302</v>
      </c>
      <c r="B12">
        <v>0.17777777777777801</v>
      </c>
      <c r="C12">
        <v>-0.26853146853146898</v>
      </c>
      <c r="D12">
        <v>-0.15384615384615399</v>
      </c>
      <c r="E12">
        <v>0.114685314685315</v>
      </c>
      <c r="F12">
        <v>0.62937062937062904</v>
      </c>
      <c r="G12">
        <v>0.75</v>
      </c>
      <c r="H12">
        <v>0.58763655547627403</v>
      </c>
      <c r="I12">
        <f t="shared" si="0"/>
        <v>0.59666831842228851</v>
      </c>
      <c r="J12">
        <f t="shared" si="1"/>
        <v>9.0317629460144877E-3</v>
      </c>
    </row>
    <row r="13" spans="1:18" x14ac:dyDescent="0.3">
      <c r="A13">
        <v>0.40933589781638902</v>
      </c>
      <c r="B13">
        <v>0.17777777777777801</v>
      </c>
      <c r="C13">
        <v>-0.27428571428571402</v>
      </c>
      <c r="D13">
        <v>-0.128571428571429</v>
      </c>
      <c r="E13">
        <v>0.14571428571428599</v>
      </c>
      <c r="F13">
        <v>0.64285714285714302</v>
      </c>
      <c r="G13">
        <v>0.9375</v>
      </c>
      <c r="H13">
        <v>0.46265077163243001</v>
      </c>
      <c r="I13">
        <f t="shared" si="0"/>
        <v>0.55083976103653065</v>
      </c>
      <c r="J13">
        <f t="shared" si="1"/>
        <v>8.8188989404100637E-2</v>
      </c>
    </row>
    <row r="14" spans="1:18" x14ac:dyDescent="0.3">
      <c r="A14">
        <v>0.31078053142483802</v>
      </c>
      <c r="B14">
        <v>0.33108108108108097</v>
      </c>
      <c r="C14">
        <v>-0.56999999999999995</v>
      </c>
      <c r="D14">
        <v>-7.0000000000000007E-2</v>
      </c>
      <c r="E14">
        <v>0.5</v>
      </c>
      <c r="F14">
        <v>1.48</v>
      </c>
      <c r="G14">
        <v>1.03061224489796</v>
      </c>
      <c r="H14">
        <v>0.68646514404249603</v>
      </c>
      <c r="I14">
        <f t="shared" si="0"/>
        <v>0.51694883197251906</v>
      </c>
      <c r="J14">
        <f t="shared" si="1"/>
        <v>-0.16951631206997697</v>
      </c>
    </row>
    <row r="15" spans="1:18" x14ac:dyDescent="0.3">
      <c r="A15">
        <v>0.31078053142483802</v>
      </c>
      <c r="B15">
        <v>0.33108108108108097</v>
      </c>
      <c r="C15">
        <v>-0.63</v>
      </c>
      <c r="D15">
        <v>-0.13</v>
      </c>
      <c r="E15">
        <v>0.5</v>
      </c>
      <c r="F15">
        <v>1.48</v>
      </c>
      <c r="G15">
        <v>1.03061224489796</v>
      </c>
      <c r="H15">
        <v>0.57040054021955799</v>
      </c>
      <c r="I15">
        <f t="shared" si="0"/>
        <v>0.52584521761914027</v>
      </c>
      <c r="J15">
        <f t="shared" si="1"/>
        <v>-4.4555322600417724E-2</v>
      </c>
    </row>
    <row r="16" spans="1:18" x14ac:dyDescent="0.3">
      <c r="A16">
        <v>0.31078053142483802</v>
      </c>
      <c r="B16">
        <v>0.33108108108108097</v>
      </c>
      <c r="C16">
        <v>-0.97</v>
      </c>
      <c r="D16">
        <v>-0.47</v>
      </c>
      <c r="E16">
        <v>0.5</v>
      </c>
      <c r="F16">
        <v>1.48</v>
      </c>
      <c r="G16">
        <v>1.03061224489796</v>
      </c>
      <c r="H16">
        <v>0.48821405997454198</v>
      </c>
      <c r="I16">
        <f t="shared" si="0"/>
        <v>0.57625806961666015</v>
      </c>
      <c r="J16">
        <f t="shared" si="1"/>
        <v>8.8044009642118171E-2</v>
      </c>
    </row>
    <row r="17" spans="1:10" x14ac:dyDescent="0.3">
      <c r="A17">
        <v>0.31078053142483802</v>
      </c>
      <c r="B17">
        <v>0.33108108108108097</v>
      </c>
      <c r="C17">
        <v>-1.1759999999999999</v>
      </c>
      <c r="D17">
        <v>-1.1000000000000001</v>
      </c>
      <c r="E17">
        <v>7.5999999999999998E-2</v>
      </c>
      <c r="F17">
        <v>1.48</v>
      </c>
      <c r="G17">
        <v>1.03061224489796</v>
      </c>
      <c r="H17">
        <v>0.98058460970925798</v>
      </c>
      <c r="I17">
        <f t="shared" si="0"/>
        <v>0.9108029580717123</v>
      </c>
      <c r="J17">
        <f t="shared" si="1"/>
        <v>-6.9781651637545683E-2</v>
      </c>
    </row>
    <row r="18" spans="1:10" x14ac:dyDescent="0.3">
      <c r="A18">
        <v>0.31078053142483802</v>
      </c>
      <c r="B18">
        <v>0.33108108108108097</v>
      </c>
      <c r="C18">
        <v>-0.1</v>
      </c>
      <c r="D18">
        <v>-0.09</v>
      </c>
      <c r="E18">
        <v>0.01</v>
      </c>
      <c r="F18">
        <v>1.48</v>
      </c>
      <c r="G18">
        <v>1.03061224489796</v>
      </c>
      <c r="H18">
        <v>0.87844364403539399</v>
      </c>
      <c r="I18">
        <f t="shared" si="0"/>
        <v>0.71988670659611143</v>
      </c>
      <c r="J18">
        <f t="shared" si="1"/>
        <v>-0.15855693743928256</v>
      </c>
    </row>
    <row r="19" spans="1:10" x14ac:dyDescent="0.3">
      <c r="A19">
        <v>0.31078053142483802</v>
      </c>
      <c r="B19">
        <v>0.33108108108108097</v>
      </c>
      <c r="C19">
        <v>-0.15</v>
      </c>
      <c r="D19">
        <v>-0.14000000000000001</v>
      </c>
      <c r="E19">
        <v>0.01</v>
      </c>
      <c r="F19">
        <v>1.48</v>
      </c>
      <c r="G19">
        <v>1.03061224489796</v>
      </c>
      <c r="H19">
        <v>0.7644092876495</v>
      </c>
      <c r="I19">
        <f t="shared" si="0"/>
        <v>0.68525258449022175</v>
      </c>
      <c r="J19">
        <f t="shared" si="1"/>
        <v>-7.9156703159278252E-2</v>
      </c>
    </row>
    <row r="20" spans="1:10" x14ac:dyDescent="0.3">
      <c r="A20">
        <v>0.31078053142483802</v>
      </c>
      <c r="B20">
        <v>0.33108108108108097</v>
      </c>
      <c r="C20">
        <v>-0.51</v>
      </c>
      <c r="D20">
        <v>-0.5</v>
      </c>
      <c r="E20">
        <v>0.01</v>
      </c>
      <c r="F20">
        <v>1.48</v>
      </c>
      <c r="G20">
        <v>1.03061224489796</v>
      </c>
      <c r="H20">
        <v>0.45435732629124598</v>
      </c>
      <c r="I20">
        <f t="shared" si="0"/>
        <v>0.43588690532781654</v>
      </c>
      <c r="J20">
        <f t="shared" si="1"/>
        <v>-1.8470420963429435E-2</v>
      </c>
    </row>
    <row r="21" spans="1:10" x14ac:dyDescent="0.3">
      <c r="A21">
        <v>0.31078053142483802</v>
      </c>
      <c r="B21">
        <v>0.33108108108108097</v>
      </c>
      <c r="C21">
        <v>-0.27</v>
      </c>
      <c r="D21">
        <v>-0.26</v>
      </c>
      <c r="E21">
        <v>0.01</v>
      </c>
      <c r="F21">
        <v>1.48</v>
      </c>
      <c r="G21">
        <v>1.03061224489796</v>
      </c>
      <c r="H21">
        <v>0.331980966911681</v>
      </c>
      <c r="I21">
        <f t="shared" si="0"/>
        <v>0.60213069143608666</v>
      </c>
      <c r="J21">
        <f t="shared" si="1"/>
        <v>0.27014972452440567</v>
      </c>
    </row>
    <row r="22" spans="1:10" x14ac:dyDescent="0.3">
      <c r="A22">
        <v>0.49041819659053498</v>
      </c>
      <c r="B22">
        <v>0.8</v>
      </c>
      <c r="C22">
        <v>-1.375</v>
      </c>
      <c r="D22">
        <v>-1.25</v>
      </c>
      <c r="E22">
        <v>0.125</v>
      </c>
      <c r="F22">
        <v>0.83333333333333304</v>
      </c>
      <c r="G22">
        <v>0.125</v>
      </c>
      <c r="H22">
        <v>1.17995552612205</v>
      </c>
      <c r="I22">
        <f t="shared" si="0"/>
        <v>1.1466803874048499</v>
      </c>
      <c r="J22">
        <f t="shared" si="1"/>
        <v>-3.3275138717200115E-2</v>
      </c>
    </row>
    <row r="23" spans="1:10" x14ac:dyDescent="0.3">
      <c r="A23">
        <v>0.49041819659053498</v>
      </c>
      <c r="B23">
        <v>0.8</v>
      </c>
      <c r="C23">
        <v>-0.358333333333333</v>
      </c>
      <c r="D23">
        <v>-0.233333333333333</v>
      </c>
      <c r="E23">
        <v>0.125</v>
      </c>
      <c r="F23">
        <v>0.83333333333333304</v>
      </c>
      <c r="G23">
        <v>0.125</v>
      </c>
      <c r="H23">
        <v>1.0101868317313401</v>
      </c>
      <c r="I23">
        <f t="shared" si="0"/>
        <v>0.92656804779406166</v>
      </c>
      <c r="J23">
        <f t="shared" si="1"/>
        <v>-8.3618783937278396E-2</v>
      </c>
    </row>
    <row r="24" spans="1:10" x14ac:dyDescent="0.3">
      <c r="A24">
        <v>0.49041819659053498</v>
      </c>
      <c r="B24">
        <v>0.8</v>
      </c>
      <c r="C24">
        <v>-0.21249999999999999</v>
      </c>
      <c r="D24">
        <v>-8.7499999999999994E-2</v>
      </c>
      <c r="E24">
        <v>0.125</v>
      </c>
      <c r="F24">
        <v>0.83333333333333304</v>
      </c>
      <c r="G24">
        <v>0.125</v>
      </c>
      <c r="H24">
        <v>0.82864380456501296</v>
      </c>
      <c r="I24">
        <f t="shared" si="0"/>
        <v>0.89499455645644865</v>
      </c>
      <c r="J24">
        <f t="shared" si="1"/>
        <v>6.6350751891435689E-2</v>
      </c>
    </row>
    <row r="25" spans="1:10" x14ac:dyDescent="0.3">
      <c r="A25">
        <v>0.50722133043161599</v>
      </c>
      <c r="B25">
        <v>0.73333333333333295</v>
      </c>
      <c r="C25">
        <v>-1.0833333333333299</v>
      </c>
      <c r="D25">
        <v>-0.95833333333333304</v>
      </c>
      <c r="E25">
        <v>0.125</v>
      </c>
      <c r="F25">
        <v>0.625</v>
      </c>
      <c r="G25">
        <v>0.18181818181818199</v>
      </c>
      <c r="H25">
        <v>1.01799173577901</v>
      </c>
      <c r="I25">
        <f t="shared" si="0"/>
        <v>1.1005686667174064</v>
      </c>
      <c r="J25">
        <f t="shared" si="1"/>
        <v>8.2576930938396353E-2</v>
      </c>
    </row>
    <row r="26" spans="1:10" x14ac:dyDescent="0.3">
      <c r="A26">
        <v>0.50722133043161599</v>
      </c>
      <c r="B26">
        <v>0.73333333333333295</v>
      </c>
      <c r="C26">
        <v>-0.5</v>
      </c>
      <c r="D26">
        <v>-0.375</v>
      </c>
      <c r="E26">
        <v>0.125</v>
      </c>
      <c r="F26">
        <v>0.625</v>
      </c>
      <c r="G26">
        <v>0.18181818181818199</v>
      </c>
      <c r="H26">
        <v>0.844210661171927</v>
      </c>
      <c r="I26">
        <f t="shared" si="0"/>
        <v>0.95420258448665751</v>
      </c>
      <c r="J26">
        <f t="shared" si="1"/>
        <v>0.10999192331473051</v>
      </c>
    </row>
    <row r="27" spans="1:10" x14ac:dyDescent="0.3">
      <c r="A27">
        <v>0.50722133043161599</v>
      </c>
      <c r="B27">
        <v>0.73333333333333295</v>
      </c>
      <c r="C27">
        <v>-0.30833333333333302</v>
      </c>
      <c r="D27">
        <v>-0.18333333333333299</v>
      </c>
      <c r="E27">
        <v>0.125</v>
      </c>
      <c r="F27">
        <v>0.625</v>
      </c>
      <c r="G27">
        <v>0.18181818181818199</v>
      </c>
      <c r="H27">
        <v>0.98304387965256101</v>
      </c>
      <c r="I27">
        <f t="shared" si="0"/>
        <v>0.90611087175369698</v>
      </c>
      <c r="J27">
        <f t="shared" si="1"/>
        <v>-7.6933007898864036E-2</v>
      </c>
    </row>
    <row r="28" spans="1:10" x14ac:dyDescent="0.3">
      <c r="A28">
        <v>0.50722133043161599</v>
      </c>
      <c r="B28">
        <v>0.73333333333333295</v>
      </c>
      <c r="C28">
        <v>-0.15833333333333299</v>
      </c>
      <c r="D28">
        <v>-3.3333333333333298E-2</v>
      </c>
      <c r="E28">
        <v>0.125</v>
      </c>
      <c r="F28">
        <v>0.625</v>
      </c>
      <c r="G28">
        <v>0.18181818181818199</v>
      </c>
      <c r="H28">
        <v>0.84572760983214501</v>
      </c>
      <c r="I28">
        <f t="shared" si="0"/>
        <v>0.8684738791800759</v>
      </c>
      <c r="J28">
        <f t="shared" si="1"/>
        <v>2.2746269347930892E-2</v>
      </c>
    </row>
    <row r="29" spans="1:10" x14ac:dyDescent="0.3">
      <c r="A29">
        <v>0.27511404478700902</v>
      </c>
      <c r="B29">
        <v>0.37853107344632803</v>
      </c>
      <c r="C29">
        <v>-0.67</v>
      </c>
      <c r="D29">
        <v>-0.58333333333333304</v>
      </c>
      <c r="E29">
        <v>8.66666666666666E-2</v>
      </c>
      <c r="F29">
        <v>0.73750000000000004</v>
      </c>
      <c r="G29">
        <v>1.4029850746268699</v>
      </c>
      <c r="H29">
        <v>0.90314840449032696</v>
      </c>
      <c r="I29">
        <f t="shared" si="0"/>
        <v>0.86470619780073676</v>
      </c>
      <c r="J29">
        <f t="shared" si="1"/>
        <v>-3.8442206689590197E-2</v>
      </c>
    </row>
    <row r="30" spans="1:10" x14ac:dyDescent="0.3">
      <c r="A30">
        <v>0.27511404478700902</v>
      </c>
      <c r="B30">
        <v>0.37853107344632803</v>
      </c>
      <c r="C30">
        <v>-0.67</v>
      </c>
      <c r="D30">
        <v>-0.41666666666666702</v>
      </c>
      <c r="E30">
        <v>0.25333333333333302</v>
      </c>
      <c r="F30">
        <v>0.73750000000000004</v>
      </c>
      <c r="G30">
        <v>1.4029850746268699</v>
      </c>
      <c r="H30">
        <v>0.62078396605448605</v>
      </c>
      <c r="I30">
        <f t="shared" si="0"/>
        <v>0.66113874049730359</v>
      </c>
      <c r="J30">
        <f t="shared" si="1"/>
        <v>4.0354774442817543E-2</v>
      </c>
    </row>
    <row r="31" spans="1:10" x14ac:dyDescent="0.3">
      <c r="A31">
        <v>0.27511404478700902</v>
      </c>
      <c r="B31">
        <v>0.37853107344632803</v>
      </c>
      <c r="C31">
        <v>-0.64583333333333304</v>
      </c>
      <c r="D31">
        <v>-0.18333333333333299</v>
      </c>
      <c r="E31">
        <v>0.46250000000000002</v>
      </c>
      <c r="F31">
        <v>0.73750000000000004</v>
      </c>
      <c r="G31">
        <v>1.4029850746268699</v>
      </c>
      <c r="H31">
        <v>0.25905792459925697</v>
      </c>
      <c r="I31">
        <f t="shared" si="0"/>
        <v>0.39431622981669373</v>
      </c>
      <c r="J31">
        <f t="shared" si="1"/>
        <v>0.13525830521743676</v>
      </c>
    </row>
    <row r="32" spans="1:10" x14ac:dyDescent="0.3">
      <c r="A32">
        <v>0.27511404478700902</v>
      </c>
      <c r="B32">
        <v>0.37853107344632803</v>
      </c>
      <c r="C32">
        <v>-0.50416666666666698</v>
      </c>
      <c r="D32">
        <v>-4.1666666666666699E-2</v>
      </c>
      <c r="E32">
        <v>0.46250000000000002</v>
      </c>
      <c r="F32">
        <v>0.73750000000000004</v>
      </c>
      <c r="G32">
        <v>1.4029850746268699</v>
      </c>
      <c r="H32">
        <v>0.17757246046550201</v>
      </c>
      <c r="I32">
        <f t="shared" si="0"/>
        <v>0.35508176991259932</v>
      </c>
      <c r="J32">
        <f t="shared" si="1"/>
        <v>0.17750930944709731</v>
      </c>
    </row>
    <row r="33" spans="1:10" x14ac:dyDescent="0.3">
      <c r="A33">
        <v>0.116617219019459</v>
      </c>
      <c r="B33">
        <v>0.38961038961039002</v>
      </c>
      <c r="C33">
        <v>-0.3</v>
      </c>
      <c r="D33">
        <v>-0.22500000000000001</v>
      </c>
      <c r="E33">
        <v>7.4999999999999997E-2</v>
      </c>
      <c r="F33">
        <v>0.32083333333333303</v>
      </c>
      <c r="G33">
        <v>0.86666666666666703</v>
      </c>
      <c r="H33">
        <v>0.80110747134608895</v>
      </c>
      <c r="I33">
        <f t="shared" si="0"/>
        <v>0.79270014872501204</v>
      </c>
      <c r="J33">
        <f t="shared" si="1"/>
        <v>-8.407322621076907E-3</v>
      </c>
    </row>
    <row r="34" spans="1:10" x14ac:dyDescent="0.3">
      <c r="A34">
        <v>0.116617219019459</v>
      </c>
      <c r="B34">
        <v>0.38961038961039002</v>
      </c>
      <c r="C34">
        <v>-0.241666666666667</v>
      </c>
      <c r="D34">
        <v>-9.5833333333333298E-2</v>
      </c>
      <c r="E34">
        <v>0.14583333333333301</v>
      </c>
      <c r="F34">
        <v>0.32083333333333303</v>
      </c>
      <c r="G34">
        <v>0.86666666666666703</v>
      </c>
      <c r="H34">
        <v>0.67200209561546098</v>
      </c>
      <c r="I34">
        <f t="shared" si="0"/>
        <v>0.67967375802836416</v>
      </c>
      <c r="J34">
        <f t="shared" si="1"/>
        <v>7.6716624129031796E-3</v>
      </c>
    </row>
    <row r="35" spans="1:10" x14ac:dyDescent="0.3">
      <c r="A35">
        <v>0.116617219019459</v>
      </c>
      <c r="B35">
        <v>0.38961038961039002</v>
      </c>
      <c r="C35">
        <v>-0.204166666666667</v>
      </c>
      <c r="D35">
        <v>-5.83333333333333E-2</v>
      </c>
      <c r="E35">
        <v>0.14583333333333301</v>
      </c>
      <c r="F35">
        <v>0.32083333333333303</v>
      </c>
      <c r="G35">
        <v>0.86666666666666703</v>
      </c>
      <c r="H35">
        <v>0.80299772214121401</v>
      </c>
      <c r="I35">
        <f t="shared" si="0"/>
        <v>0.66841005135863707</v>
      </c>
      <c r="J35">
        <f t="shared" si="1"/>
        <v>-0.13458767078257694</v>
      </c>
    </row>
    <row r="36" spans="1:10" x14ac:dyDescent="0.3">
      <c r="A36">
        <v>0.44939146609105401</v>
      </c>
      <c r="B36">
        <v>0.48780487804877998</v>
      </c>
      <c r="C36">
        <v>-0.6</v>
      </c>
      <c r="D36">
        <v>-0.54166666666666696</v>
      </c>
      <c r="E36">
        <v>5.83333333333333E-2</v>
      </c>
      <c r="F36">
        <v>0.51249999999999996</v>
      </c>
      <c r="G36">
        <v>1.8333333333333299</v>
      </c>
      <c r="H36">
        <v>0.85276987473805199</v>
      </c>
      <c r="I36">
        <f t="shared" si="0"/>
        <v>0.92397578014621029</v>
      </c>
      <c r="J36">
        <f t="shared" si="1"/>
        <v>7.1205905408158299E-2</v>
      </c>
    </row>
    <row r="37" spans="1:10" x14ac:dyDescent="0.3">
      <c r="A37">
        <v>0.44939146609105401</v>
      </c>
      <c r="B37">
        <v>0.48780487804877998</v>
      </c>
      <c r="C37">
        <v>-0.6</v>
      </c>
      <c r="D37">
        <v>-0.33333333333333298</v>
      </c>
      <c r="E37">
        <v>0.266666666666667</v>
      </c>
      <c r="F37">
        <v>0.51249999999999996</v>
      </c>
      <c r="G37">
        <v>1.8333333333333299</v>
      </c>
      <c r="H37">
        <v>0.70134917178004796</v>
      </c>
      <c r="I37">
        <f t="shared" si="0"/>
        <v>0.6811560783274504</v>
      </c>
      <c r="J37">
        <f t="shared" si="1"/>
        <v>-2.0193093452597566E-2</v>
      </c>
    </row>
    <row r="38" spans="1:10" x14ac:dyDescent="0.3">
      <c r="A38">
        <v>0.44939146609105401</v>
      </c>
      <c r="B38">
        <v>0.48780487804877998</v>
      </c>
      <c r="C38">
        <v>-0.391666666666667</v>
      </c>
      <c r="D38">
        <v>-8.3333333333333398E-2</v>
      </c>
      <c r="E38">
        <v>0.30833333333333302</v>
      </c>
      <c r="F38">
        <v>0.51249999999999996</v>
      </c>
      <c r="G38">
        <v>1.8333333333333299</v>
      </c>
      <c r="H38">
        <v>0.409634745989158</v>
      </c>
      <c r="I38">
        <f t="shared" si="0"/>
        <v>0.5606912118878844</v>
      </c>
      <c r="J38">
        <f t="shared" si="1"/>
        <v>0.1510564658987264</v>
      </c>
    </row>
    <row r="39" spans="1:10" x14ac:dyDescent="0.3">
      <c r="A39">
        <v>0.44558618529625499</v>
      </c>
      <c r="B39">
        <v>0.85</v>
      </c>
      <c r="C39">
        <v>-1.1000000000000001</v>
      </c>
      <c r="D39">
        <v>-0.5</v>
      </c>
      <c r="E39">
        <v>0.6</v>
      </c>
      <c r="F39">
        <v>1</v>
      </c>
      <c r="G39">
        <v>8.8235294117647106E-2</v>
      </c>
      <c r="H39">
        <v>0.86737810587945496</v>
      </c>
      <c r="I39">
        <f t="shared" si="0"/>
        <v>0.59777082665273107</v>
      </c>
      <c r="J39">
        <f t="shared" si="1"/>
        <v>-0.26960727922672389</v>
      </c>
    </row>
    <row r="40" spans="1:10" x14ac:dyDescent="0.3">
      <c r="A40">
        <v>0.44558618529625499</v>
      </c>
      <c r="B40">
        <v>0.85</v>
      </c>
      <c r="C40">
        <v>-2.04</v>
      </c>
      <c r="D40">
        <v>-1.5</v>
      </c>
      <c r="E40">
        <v>0.54</v>
      </c>
      <c r="F40">
        <v>1</v>
      </c>
      <c r="G40">
        <v>8.8235294117647106E-2</v>
      </c>
      <c r="H40">
        <v>0.95784051095241596</v>
      </c>
      <c r="I40">
        <f t="shared" si="0"/>
        <v>0.95148504771140663</v>
      </c>
      <c r="J40">
        <f t="shared" si="1"/>
        <v>-6.3554632410093292E-3</v>
      </c>
    </row>
    <row r="41" spans="1:10" x14ac:dyDescent="0.3">
      <c r="A41">
        <v>0.44558618529625499</v>
      </c>
      <c r="B41">
        <v>0.85</v>
      </c>
      <c r="C41">
        <v>-0.68500000000000005</v>
      </c>
      <c r="D41">
        <v>-0.23499999999999999</v>
      </c>
      <c r="E41">
        <v>0.45</v>
      </c>
      <c r="F41">
        <v>1</v>
      </c>
      <c r="G41">
        <v>8.8235294117647106E-2</v>
      </c>
      <c r="H41">
        <v>0.80367298878225402</v>
      </c>
      <c r="I41">
        <f t="shared" si="0"/>
        <v>0.67824246250299092</v>
      </c>
      <c r="J41">
        <f t="shared" si="1"/>
        <v>-0.1254305262792631</v>
      </c>
    </row>
    <row r="42" spans="1:10" x14ac:dyDescent="0.3">
      <c r="A42">
        <v>0.44558618529625499</v>
      </c>
      <c r="B42">
        <v>0.7</v>
      </c>
      <c r="C42">
        <v>-0.68500000000000005</v>
      </c>
      <c r="D42">
        <v>-0.23499999999999999</v>
      </c>
      <c r="E42">
        <v>0.45</v>
      </c>
      <c r="F42">
        <v>1</v>
      </c>
      <c r="G42">
        <v>0.214285714285714</v>
      </c>
      <c r="H42">
        <v>0.60959969130689595</v>
      </c>
      <c r="I42">
        <f t="shared" si="0"/>
        <v>0.59006944586891241</v>
      </c>
      <c r="J42">
        <f t="shared" si="1"/>
        <v>-1.953024543798354E-2</v>
      </c>
    </row>
    <row r="43" spans="1:10" x14ac:dyDescent="0.3">
      <c r="A43">
        <v>0.44558618529625499</v>
      </c>
      <c r="B43">
        <v>0.7</v>
      </c>
      <c r="C43">
        <v>-0.95</v>
      </c>
      <c r="D43">
        <v>-0.5</v>
      </c>
      <c r="E43">
        <v>0.45</v>
      </c>
      <c r="F43">
        <v>1</v>
      </c>
      <c r="G43">
        <v>0.214285714285714</v>
      </c>
      <c r="H43">
        <v>0.74863187388988495</v>
      </c>
      <c r="I43">
        <f t="shared" si="0"/>
        <v>0.66692707559621811</v>
      </c>
      <c r="J43">
        <f t="shared" si="1"/>
        <v>-8.1704798293666836E-2</v>
      </c>
    </row>
    <row r="44" spans="1:10" x14ac:dyDescent="0.3">
      <c r="A44">
        <v>0.44558618529625499</v>
      </c>
      <c r="B44">
        <v>0.55000000000000004</v>
      </c>
      <c r="C44">
        <v>-0.85</v>
      </c>
      <c r="D44">
        <v>-0.25</v>
      </c>
      <c r="E44">
        <v>0.6</v>
      </c>
      <c r="F44">
        <v>1</v>
      </c>
      <c r="G44">
        <v>0.40909090909090901</v>
      </c>
      <c r="H44">
        <v>0.42199134210566702</v>
      </c>
      <c r="I44">
        <f t="shared" si="0"/>
        <v>0.34576080108663571</v>
      </c>
      <c r="J44">
        <f t="shared" si="1"/>
        <v>-7.6230541019031317E-2</v>
      </c>
    </row>
    <row r="45" spans="1:10" x14ac:dyDescent="0.3">
      <c r="A45">
        <v>0.44558618529625499</v>
      </c>
      <c r="B45">
        <v>0.55000000000000004</v>
      </c>
      <c r="C45">
        <v>-1.1000000000000001</v>
      </c>
      <c r="D45">
        <v>-0.5</v>
      </c>
      <c r="E45">
        <v>0.6</v>
      </c>
      <c r="F45">
        <v>1</v>
      </c>
      <c r="G45">
        <v>0.40909090909090901</v>
      </c>
      <c r="H45">
        <v>0.70401209402999199</v>
      </c>
      <c r="I45">
        <f t="shared" si="0"/>
        <v>0.4197019484483473</v>
      </c>
      <c r="J45">
        <f t="shared" si="1"/>
        <v>-0.28431014558164469</v>
      </c>
    </row>
    <row r="46" spans="1:10" x14ac:dyDescent="0.3">
      <c r="A46">
        <v>0.44558618529625499</v>
      </c>
      <c r="B46">
        <v>0.4</v>
      </c>
      <c r="C46">
        <v>-0.96</v>
      </c>
      <c r="D46">
        <v>-0.56000000000000005</v>
      </c>
      <c r="E46">
        <v>0.4</v>
      </c>
      <c r="F46">
        <v>1</v>
      </c>
      <c r="G46">
        <v>0.75</v>
      </c>
      <c r="H46">
        <v>0.71271717268899704</v>
      </c>
      <c r="I46">
        <f t="shared" si="0"/>
        <v>0.56780340419270081</v>
      </c>
      <c r="J46">
        <f t="shared" si="1"/>
        <v>-0.14491376849629622</v>
      </c>
    </row>
    <row r="47" spans="1:10" x14ac:dyDescent="0.3">
      <c r="A47">
        <v>0.31078053142483802</v>
      </c>
      <c r="B47">
        <v>0.33108108108108097</v>
      </c>
      <c r="C47">
        <v>-0.75</v>
      </c>
      <c r="D47">
        <v>-0.25</v>
      </c>
      <c r="E47">
        <v>0.5</v>
      </c>
      <c r="F47">
        <v>1.48</v>
      </c>
      <c r="G47">
        <v>1.0204081632653099</v>
      </c>
      <c r="H47">
        <v>0.58824137960290501</v>
      </c>
      <c r="I47">
        <f t="shared" si="0"/>
        <v>0.54363798891238257</v>
      </c>
      <c r="J47">
        <f t="shared" si="1"/>
        <v>-4.4603390690522438E-2</v>
      </c>
    </row>
    <row r="48" spans="1:10" x14ac:dyDescent="0.3">
      <c r="A48">
        <v>0.31078053142483802</v>
      </c>
      <c r="B48">
        <v>0.33108108108108097</v>
      </c>
      <c r="C48">
        <v>-0.33</v>
      </c>
      <c r="D48">
        <v>-0.08</v>
      </c>
      <c r="E48">
        <v>0.25</v>
      </c>
      <c r="F48">
        <v>1.48</v>
      </c>
      <c r="G48">
        <v>1.0204081632653099</v>
      </c>
      <c r="H48">
        <v>0.83921224573660402</v>
      </c>
      <c r="I48">
        <f t="shared" si="0"/>
        <v>0.60235213116927688</v>
      </c>
      <c r="J48">
        <f t="shared" si="1"/>
        <v>-0.23686011456732714</v>
      </c>
    </row>
    <row r="49" spans="1:11" x14ac:dyDescent="0.3">
      <c r="A49">
        <v>0.31078053142483802</v>
      </c>
      <c r="B49">
        <v>0.33108108108108097</v>
      </c>
      <c r="C49">
        <v>-0.5</v>
      </c>
      <c r="D49">
        <v>-0.25</v>
      </c>
      <c r="E49">
        <v>0.25</v>
      </c>
      <c r="F49">
        <v>1.48</v>
      </c>
      <c r="G49">
        <v>1.0204081632653099</v>
      </c>
      <c r="H49">
        <v>0.530907025986878</v>
      </c>
      <c r="I49">
        <f t="shared" si="0"/>
        <v>0.6377052881686569</v>
      </c>
      <c r="J49">
        <f t="shared" si="1"/>
        <v>0.1067982621817789</v>
      </c>
    </row>
    <row r="50" spans="1:11" x14ac:dyDescent="0.3">
      <c r="A50">
        <v>0.31078053142483802</v>
      </c>
      <c r="B50">
        <v>0.33108108108108097</v>
      </c>
      <c r="C50">
        <v>-0.75</v>
      </c>
      <c r="D50">
        <v>-0.5</v>
      </c>
      <c r="E50">
        <v>0.25</v>
      </c>
      <c r="F50">
        <v>1.48</v>
      </c>
      <c r="G50">
        <v>1.0204081632653099</v>
      </c>
      <c r="H50">
        <v>0.44051699683130402</v>
      </c>
      <c r="I50">
        <f t="shared" si="0"/>
        <v>0.68969522493245095</v>
      </c>
      <c r="J50">
        <f t="shared" si="1"/>
        <v>0.24917822810114693</v>
      </c>
    </row>
    <row r="51" spans="1:11" x14ac:dyDescent="0.3">
      <c r="A51">
        <v>0.27245455366140803</v>
      </c>
      <c r="B51">
        <v>0.5</v>
      </c>
      <c r="C51">
        <v>-1.27076411960133</v>
      </c>
      <c r="D51">
        <v>-0.60631229235880402</v>
      </c>
      <c r="E51">
        <v>0.66445182724252505</v>
      </c>
      <c r="F51">
        <v>1.99335548172757</v>
      </c>
      <c r="G51">
        <v>0.5</v>
      </c>
      <c r="H51">
        <v>0.24458445376069801</v>
      </c>
      <c r="I51">
        <f t="shared" si="0"/>
        <v>0.37905478763319206</v>
      </c>
      <c r="J51">
        <f t="shared" si="1"/>
        <v>0.13447033387249405</v>
      </c>
    </row>
    <row r="52" spans="1:11" x14ac:dyDescent="0.3">
      <c r="A52">
        <v>0.27245455366140803</v>
      </c>
      <c r="B52">
        <v>0.5</v>
      </c>
      <c r="C52">
        <v>-1.09615384615385</v>
      </c>
      <c r="D52">
        <v>-0.32692307692307698</v>
      </c>
      <c r="E52">
        <v>0.76923076923076905</v>
      </c>
      <c r="F52">
        <v>2.3076923076923102</v>
      </c>
      <c r="G52">
        <v>0.5</v>
      </c>
      <c r="H52">
        <v>0.156289961131994</v>
      </c>
      <c r="I52">
        <f t="shared" si="0"/>
        <v>0.20463764857408762</v>
      </c>
      <c r="J52">
        <f t="shared" si="1"/>
        <v>4.8347687442093612E-2</v>
      </c>
    </row>
    <row r="53" spans="1:11" x14ac:dyDescent="0.3">
      <c r="A53">
        <v>0.27245455366140803</v>
      </c>
      <c r="B53">
        <v>0.5</v>
      </c>
      <c r="C53">
        <v>-0.91244239631336399</v>
      </c>
      <c r="D53">
        <v>-0.17511520737327199</v>
      </c>
      <c r="E53">
        <v>0.73732718894009197</v>
      </c>
      <c r="F53">
        <v>2.2119815668202798</v>
      </c>
      <c r="G53">
        <v>0.5</v>
      </c>
      <c r="H53">
        <v>0.30643109661881002</v>
      </c>
      <c r="I53">
        <f t="shared" si="0"/>
        <v>0.19197617927929767</v>
      </c>
      <c r="J53">
        <f t="shared" si="1"/>
        <v>-0.11445491733951235</v>
      </c>
    </row>
    <row r="54" spans="1:11" x14ac:dyDescent="0.3">
      <c r="A54">
        <v>0.26022155053158802</v>
      </c>
      <c r="B54">
        <v>0.52631578947368396</v>
      </c>
      <c r="C54">
        <v>-0.70102572422620002</v>
      </c>
      <c r="D54">
        <v>-0.45860148180195798</v>
      </c>
      <c r="E54">
        <v>0.24242424242424199</v>
      </c>
      <c r="F54">
        <v>0.57575757575757602</v>
      </c>
      <c r="G54">
        <v>0.4</v>
      </c>
      <c r="H54">
        <v>0.74331929249421902</v>
      </c>
      <c r="I54">
        <f t="shared" si="0"/>
        <v>0.76769255153851146</v>
      </c>
      <c r="J54">
        <f t="shared" si="1"/>
        <v>2.4373259044292439E-2</v>
      </c>
    </row>
    <row r="55" spans="1:11" x14ac:dyDescent="0.3">
      <c r="A55">
        <v>0.26022155053158802</v>
      </c>
      <c r="B55">
        <v>0.52631578947368396</v>
      </c>
      <c r="C55">
        <v>-0.72727272727272696</v>
      </c>
      <c r="D55">
        <v>-0.63706668108809705</v>
      </c>
      <c r="E55">
        <v>9.0206046184630295E-2</v>
      </c>
      <c r="F55">
        <v>0.57575757575757602</v>
      </c>
      <c r="G55">
        <v>0.4</v>
      </c>
      <c r="H55">
        <v>0.93917537022963904</v>
      </c>
      <c r="I55">
        <f t="shared" si="0"/>
        <v>0.9515756062549946</v>
      </c>
      <c r="J55">
        <f t="shared" si="1"/>
        <v>1.240023602535556E-2</v>
      </c>
    </row>
    <row r="56" spans="1:11" x14ac:dyDescent="0.3">
      <c r="A56">
        <v>0.35265771076355301</v>
      </c>
      <c r="B56">
        <v>0.25</v>
      </c>
      <c r="C56">
        <v>-0.12</v>
      </c>
      <c r="D56">
        <v>-5.0947867298578198E-2</v>
      </c>
      <c r="E56">
        <v>6.9052132701421798E-2</v>
      </c>
      <c r="F56">
        <v>0.2</v>
      </c>
      <c r="G56">
        <v>0</v>
      </c>
      <c r="H56">
        <v>0.80400782175855701</v>
      </c>
      <c r="I56">
        <f t="shared" si="0"/>
        <v>0.65776759854935696</v>
      </c>
      <c r="J56">
        <f t="shared" si="1"/>
        <v>-0.14624022320920005</v>
      </c>
    </row>
    <row r="57" spans="1:11" x14ac:dyDescent="0.3">
      <c r="A57">
        <v>0.24866889861532601</v>
      </c>
      <c r="B57">
        <v>0.32</v>
      </c>
      <c r="C57">
        <v>-1.1519999999999999</v>
      </c>
      <c r="D57">
        <v>-1.01</v>
      </c>
      <c r="E57">
        <v>0.14199999999999999</v>
      </c>
      <c r="F57">
        <v>1.5</v>
      </c>
      <c r="G57">
        <v>1.0625</v>
      </c>
      <c r="H57">
        <v>0.99629288879573896</v>
      </c>
      <c r="I57">
        <f t="shared" si="0"/>
        <v>0.83146903160022079</v>
      </c>
      <c r="J57">
        <f t="shared" si="1"/>
        <v>-0.16482385719551818</v>
      </c>
    </row>
    <row r="58" spans="1:11" x14ac:dyDescent="0.3">
      <c r="A58">
        <v>0.24866889861532601</v>
      </c>
      <c r="B58">
        <v>0.32</v>
      </c>
      <c r="C58">
        <v>-1.02</v>
      </c>
      <c r="D58">
        <v>-0.52</v>
      </c>
      <c r="E58">
        <v>0.5</v>
      </c>
      <c r="F58">
        <v>1.5</v>
      </c>
      <c r="G58">
        <v>1.0625</v>
      </c>
      <c r="H58">
        <v>0.86872349756108402</v>
      </c>
      <c r="I58">
        <f t="shared" si="0"/>
        <v>0.95004744829124688</v>
      </c>
      <c r="J58">
        <f t="shared" si="1"/>
        <v>8.1323950730162853E-2</v>
      </c>
    </row>
    <row r="59" spans="1:11" x14ac:dyDescent="0.3">
      <c r="A59">
        <v>0.24866889861532601</v>
      </c>
      <c r="B59">
        <v>0.32</v>
      </c>
      <c r="C59">
        <v>-0.75</v>
      </c>
      <c r="D59">
        <v>-0.25</v>
      </c>
      <c r="E59">
        <v>0.5</v>
      </c>
      <c r="F59">
        <v>1.5</v>
      </c>
      <c r="G59">
        <v>1.0625</v>
      </c>
      <c r="H59">
        <v>1.1293182525776899</v>
      </c>
      <c r="I59">
        <f t="shared" si="0"/>
        <v>0.98936197447874619</v>
      </c>
      <c r="J59">
        <f t="shared" si="1"/>
        <v>-0.13995627809894373</v>
      </c>
    </row>
    <row r="60" spans="1:11" x14ac:dyDescent="0.3">
      <c r="A60">
        <v>0.24866889861532601</v>
      </c>
      <c r="B60">
        <v>0.32</v>
      </c>
      <c r="C60">
        <v>-0.64</v>
      </c>
      <c r="D60">
        <v>-0.14000000000000001</v>
      </c>
      <c r="E60">
        <v>0.5</v>
      </c>
      <c r="F60">
        <v>1.5</v>
      </c>
      <c r="G60">
        <v>1.0625</v>
      </c>
      <c r="H60">
        <v>1.0369827686039801</v>
      </c>
      <c r="I60">
        <f t="shared" si="0"/>
        <v>1.005379003666246</v>
      </c>
      <c r="J60">
        <f t="shared" si="1"/>
        <v>-3.1603764937734091E-2</v>
      </c>
    </row>
    <row r="61" spans="1:11" x14ac:dyDescent="0.3">
      <c r="A61">
        <v>0.368816399721904</v>
      </c>
      <c r="B61">
        <v>0.25</v>
      </c>
      <c r="C61">
        <v>-0.28799999999999998</v>
      </c>
      <c r="D61">
        <v>-0.24</v>
      </c>
      <c r="E61">
        <v>4.8000000000000001E-2</v>
      </c>
      <c r="F61">
        <v>0.48</v>
      </c>
      <c r="G61">
        <v>0.86666666666666703</v>
      </c>
      <c r="H61">
        <v>0.96974788403250001</v>
      </c>
      <c r="I61">
        <f t="shared" si="0"/>
        <v>0.74501112684211035</v>
      </c>
      <c r="J61">
        <f t="shared" si="1"/>
        <v>-0.22473675719038966</v>
      </c>
    </row>
    <row r="62" spans="1:11" x14ac:dyDescent="0.3">
      <c r="A62">
        <v>0.6851488</v>
      </c>
      <c r="B62">
        <v>0.6</v>
      </c>
      <c r="C62">
        <v>-0.28799999999999998</v>
      </c>
      <c r="D62">
        <v>-0.24</v>
      </c>
      <c r="E62">
        <v>4.8000000000000001E-2</v>
      </c>
      <c r="F62">
        <v>0.2</v>
      </c>
      <c r="G62">
        <v>0.33333333333333298</v>
      </c>
      <c r="H62">
        <v>0.99645250747252601</v>
      </c>
      <c r="I62">
        <f t="shared" si="0"/>
        <v>0.93754670047410504</v>
      </c>
      <c r="J62">
        <f t="shared" si="1"/>
        <v>-5.8905806998420962E-2</v>
      </c>
    </row>
    <row r="63" spans="1:11" x14ac:dyDescent="0.3">
      <c r="A63" t="s">
        <v>2</v>
      </c>
      <c r="B63" t="s">
        <v>3</v>
      </c>
      <c r="C63" t="s">
        <v>4</v>
      </c>
      <c r="D63" t="s">
        <v>5</v>
      </c>
      <c r="E63" t="s">
        <v>6</v>
      </c>
      <c r="F63" t="s">
        <v>7</v>
      </c>
      <c r="G63" t="s">
        <v>8</v>
      </c>
      <c r="H63" t="s">
        <v>9</v>
      </c>
      <c r="I63" t="e">
        <f t="shared" si="0"/>
        <v>#VALUE!</v>
      </c>
      <c r="J63" t="e">
        <f t="shared" si="1"/>
        <v>#VALUE!</v>
      </c>
    </row>
    <row r="64" spans="1:11" x14ac:dyDescent="0.3">
      <c r="A64">
        <v>0.319090064269206</v>
      </c>
      <c r="B64">
        <v>0.24444444444444399</v>
      </c>
      <c r="C64">
        <v>-0.36166365280289298</v>
      </c>
      <c r="D64">
        <v>-0.27396021699819201</v>
      </c>
      <c r="E64">
        <v>8.7703435804701593E-2</v>
      </c>
      <c r="F64">
        <v>0.61647213545947699</v>
      </c>
      <c r="G64">
        <v>0.68181818181818199</v>
      </c>
      <c r="H64">
        <v>0.77171959560161696</v>
      </c>
      <c r="I64">
        <f t="shared" si="0"/>
        <v>0.70826356248644751</v>
      </c>
      <c r="J64">
        <f t="shared" si="1"/>
        <v>-6.3456033115169452E-2</v>
      </c>
      <c r="K64">
        <f>SQRT(SUMSQ(J64:J77)/COUNT(J64:J77))</f>
        <v>0.19680927860651601</v>
      </c>
    </row>
    <row r="65" spans="1:10" x14ac:dyDescent="0.3">
      <c r="A65">
        <v>0.319090064269206</v>
      </c>
      <c r="B65">
        <v>0.24444444444444399</v>
      </c>
      <c r="C65">
        <v>-0.30612772441566199</v>
      </c>
      <c r="D65">
        <v>-8.8446572882370497E-2</v>
      </c>
      <c r="E65">
        <v>0.21768115153329201</v>
      </c>
      <c r="F65">
        <v>0.61222823868738296</v>
      </c>
      <c r="G65">
        <v>0.68181818181818199</v>
      </c>
      <c r="H65">
        <v>0.26962130229509401</v>
      </c>
      <c r="I65">
        <f t="shared" si="0"/>
        <v>0.48806433744165656</v>
      </c>
      <c r="J65">
        <f t="shared" si="1"/>
        <v>0.21844303514656255</v>
      </c>
    </row>
    <row r="66" spans="1:10" x14ac:dyDescent="0.3">
      <c r="A66">
        <v>0.40768003860124302</v>
      </c>
      <c r="B66">
        <v>0.17777777777777801</v>
      </c>
      <c r="C66">
        <v>-0.24285714285714299</v>
      </c>
      <c r="D66">
        <v>-7.14285714285714E-3</v>
      </c>
      <c r="E66">
        <v>0.23571428571428599</v>
      </c>
      <c r="F66">
        <v>0.64285714285714302</v>
      </c>
      <c r="G66">
        <v>0.75</v>
      </c>
      <c r="H66">
        <v>8.6952111201974401E-3</v>
      </c>
      <c r="I66">
        <f t="shared" si="0"/>
        <v>0.39982368730128715</v>
      </c>
      <c r="J66">
        <f t="shared" si="1"/>
        <v>0.3911284761810897</v>
      </c>
    </row>
    <row r="67" spans="1:10" x14ac:dyDescent="0.3">
      <c r="A67">
        <v>0.40768003860124302</v>
      </c>
      <c r="B67">
        <v>0.17777777777777801</v>
      </c>
      <c r="C67">
        <v>-0.27234042553191501</v>
      </c>
      <c r="D67">
        <v>-0.11347517730496499</v>
      </c>
      <c r="E67">
        <v>0.15886524822695</v>
      </c>
      <c r="F67">
        <v>0.63829787234042601</v>
      </c>
      <c r="G67">
        <v>0.75</v>
      </c>
      <c r="H67">
        <v>0.39204436722739799</v>
      </c>
      <c r="I67">
        <f t="shared" si="0"/>
        <v>0.52975542658270447</v>
      </c>
      <c r="J67">
        <f t="shared" si="1"/>
        <v>0.13771105935530648</v>
      </c>
    </row>
    <row r="68" spans="1:10" x14ac:dyDescent="0.3">
      <c r="A68">
        <v>0.31078053142483802</v>
      </c>
      <c r="B68">
        <v>0.33108108108108097</v>
      </c>
      <c r="C68">
        <v>-0.68</v>
      </c>
      <c r="D68">
        <v>-0.18</v>
      </c>
      <c r="E68">
        <v>0.5</v>
      </c>
      <c r="F68">
        <v>1.48</v>
      </c>
      <c r="G68">
        <v>1.03061224489796</v>
      </c>
      <c r="H68">
        <v>0.62709579986470299</v>
      </c>
      <c r="I68">
        <f t="shared" si="0"/>
        <v>0.53325887232465785</v>
      </c>
      <c r="J68">
        <f t="shared" si="1"/>
        <v>-9.3836927540045134E-2</v>
      </c>
    </row>
    <row r="69" spans="1:10" x14ac:dyDescent="0.3">
      <c r="A69">
        <v>0.31078053142483802</v>
      </c>
      <c r="B69">
        <v>0.33108108108108097</v>
      </c>
      <c r="C69">
        <v>-0.17</v>
      </c>
      <c r="D69">
        <v>-0.16</v>
      </c>
      <c r="E69">
        <v>0.01</v>
      </c>
      <c r="F69">
        <v>1.48</v>
      </c>
      <c r="G69">
        <v>1.03061224489796</v>
      </c>
      <c r="H69">
        <v>0.225472906946003</v>
      </c>
      <c r="I69">
        <f t="shared" ref="I69:I77" si="2">case5_(A69,B69,C69,D69,E69,F69,G69)</f>
        <v>0.6713989356478659</v>
      </c>
      <c r="J69">
        <f t="shared" ref="J69:J77" si="3">I69-H69</f>
        <v>0.44592602870186293</v>
      </c>
    </row>
    <row r="70" spans="1:10" x14ac:dyDescent="0.3">
      <c r="A70">
        <v>0.27511404478700902</v>
      </c>
      <c r="B70">
        <v>0.37853107344632803</v>
      </c>
      <c r="C70">
        <v>-0.67</v>
      </c>
      <c r="D70">
        <v>-0.27500000000000002</v>
      </c>
      <c r="E70">
        <v>0.39500000000000002</v>
      </c>
      <c r="F70">
        <v>0.73750000000000004</v>
      </c>
      <c r="G70">
        <v>1.4029850746268699</v>
      </c>
      <c r="H70">
        <v>0.42038442977826002</v>
      </c>
      <c r="I70">
        <f t="shared" si="2"/>
        <v>0.48220504579622997</v>
      </c>
      <c r="J70">
        <f t="shared" si="3"/>
        <v>6.1820616017969954E-2</v>
      </c>
    </row>
    <row r="71" spans="1:10" x14ac:dyDescent="0.3">
      <c r="A71">
        <v>0.116617219019459</v>
      </c>
      <c r="B71">
        <v>0.38961038961039002</v>
      </c>
      <c r="C71">
        <v>-0.3</v>
      </c>
      <c r="D71">
        <v>-0.29166666666666702</v>
      </c>
      <c r="E71">
        <v>8.3333333333333402E-3</v>
      </c>
      <c r="F71">
        <v>0.32083333333333303</v>
      </c>
      <c r="G71">
        <v>0.86666666666666703</v>
      </c>
      <c r="H71">
        <v>0.81933379659541905</v>
      </c>
      <c r="I71">
        <f t="shared" si="2"/>
        <v>0.77334140763923409</v>
      </c>
      <c r="J71">
        <f t="shared" si="3"/>
        <v>-4.599238895618496E-2</v>
      </c>
    </row>
    <row r="72" spans="1:10" x14ac:dyDescent="0.3">
      <c r="A72">
        <v>0.44939146609105401</v>
      </c>
      <c r="B72">
        <v>0.48780487804877998</v>
      </c>
      <c r="C72">
        <v>-0.51666666666666705</v>
      </c>
      <c r="D72">
        <v>-0.20833333333333301</v>
      </c>
      <c r="E72">
        <v>0.30833333333333302</v>
      </c>
      <c r="F72">
        <v>0.51249999999999996</v>
      </c>
      <c r="G72">
        <v>1.8333333333333299</v>
      </c>
      <c r="H72">
        <v>0.58907363354365005</v>
      </c>
      <c r="I72">
        <f t="shared" si="2"/>
        <v>0.59846291113802563</v>
      </c>
      <c r="J72">
        <f t="shared" si="3"/>
        <v>9.389277594375578E-3</v>
      </c>
    </row>
    <row r="73" spans="1:10" x14ac:dyDescent="0.3">
      <c r="A73">
        <v>0.44558618529625499</v>
      </c>
      <c r="B73">
        <v>0.7</v>
      </c>
      <c r="C73">
        <v>-1.68</v>
      </c>
      <c r="D73">
        <v>-1.5</v>
      </c>
      <c r="E73">
        <v>0.18</v>
      </c>
      <c r="F73">
        <v>1</v>
      </c>
      <c r="G73">
        <v>0.214285714285714</v>
      </c>
      <c r="H73">
        <v>1.00139948701725</v>
      </c>
      <c r="I73">
        <f t="shared" si="2"/>
        <v>1.1620894580184693</v>
      </c>
      <c r="J73">
        <f t="shared" si="3"/>
        <v>0.16068997100121929</v>
      </c>
    </row>
    <row r="74" spans="1:10" x14ac:dyDescent="0.3">
      <c r="A74">
        <v>0.51712291666666699</v>
      </c>
      <c r="B74">
        <v>0.74166666666666703</v>
      </c>
      <c r="C74">
        <v>-0.655555555555556</v>
      </c>
      <c r="D74">
        <v>-0.33333333333333298</v>
      </c>
      <c r="E74">
        <v>0.32222222222222202</v>
      </c>
      <c r="F74">
        <v>0.66666666666666696</v>
      </c>
      <c r="G74">
        <v>0.16853932584269599</v>
      </c>
      <c r="H74">
        <v>0.88884461767987999</v>
      </c>
      <c r="I74">
        <f t="shared" si="2"/>
        <v>0.77381645542383604</v>
      </c>
      <c r="J74">
        <f t="shared" si="3"/>
        <v>-0.11502816225604395</v>
      </c>
    </row>
    <row r="75" spans="1:10" x14ac:dyDescent="0.3">
      <c r="A75">
        <v>0.31078053142483802</v>
      </c>
      <c r="B75">
        <v>0.33108108108108097</v>
      </c>
      <c r="C75">
        <v>-0.37</v>
      </c>
      <c r="D75">
        <v>-0.12</v>
      </c>
      <c r="E75">
        <v>0.25</v>
      </c>
      <c r="F75">
        <v>1.48</v>
      </c>
      <c r="G75">
        <v>1.0204081632653099</v>
      </c>
      <c r="H75">
        <v>0.74382182978262201</v>
      </c>
      <c r="I75">
        <f t="shared" si="2"/>
        <v>0.61067052105148401</v>
      </c>
      <c r="J75">
        <f t="shared" si="3"/>
        <v>-0.13315130873113801</v>
      </c>
    </row>
    <row r="76" spans="1:10" x14ac:dyDescent="0.3">
      <c r="A76">
        <v>0.26022155053158802</v>
      </c>
      <c r="B76">
        <v>0.52631578947368396</v>
      </c>
      <c r="C76">
        <v>-0.36753014980260701</v>
      </c>
      <c r="D76">
        <v>-0.125105907378364</v>
      </c>
      <c r="E76">
        <v>0.24242424242424199</v>
      </c>
      <c r="F76">
        <v>0.57575757575757602</v>
      </c>
      <c r="G76">
        <v>0.4</v>
      </c>
      <c r="H76">
        <v>0.87737451123629895</v>
      </c>
      <c r="I76">
        <f t="shared" si="2"/>
        <v>0.66880776280274012</v>
      </c>
      <c r="J76">
        <f t="shared" si="3"/>
        <v>-0.20856674843355882</v>
      </c>
    </row>
    <row r="77" spans="1:10" x14ac:dyDescent="0.3">
      <c r="A77">
        <v>0.26022155053158802</v>
      </c>
      <c r="B77">
        <v>0.52631578947368396</v>
      </c>
      <c r="C77">
        <v>-0.488309628107367</v>
      </c>
      <c r="D77">
        <v>-0.24588538568312501</v>
      </c>
      <c r="E77">
        <v>0.24242424242424199</v>
      </c>
      <c r="F77">
        <v>0.57575757575757602</v>
      </c>
      <c r="G77">
        <v>0.4</v>
      </c>
      <c r="H77">
        <v>0.63663554858831295</v>
      </c>
      <c r="I77">
        <f t="shared" si="2"/>
        <v>0.70462009169623563</v>
      </c>
      <c r="J77">
        <f t="shared" si="3"/>
        <v>6.7984543107922679E-2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case2</vt:lpstr>
      <vt:lpstr>case3</vt:lpstr>
      <vt:lpstr>case4</vt:lpstr>
      <vt:lpstr>case5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Emergency</dc:creator>
  <cp:lastModifiedBy>Computer Emergency</cp:lastModifiedBy>
  <dcterms:created xsi:type="dcterms:W3CDTF">2018-12-01T12:59:43Z</dcterms:created>
  <dcterms:modified xsi:type="dcterms:W3CDTF">2018-12-02T17:18:19Z</dcterms:modified>
</cp:coreProperties>
</file>