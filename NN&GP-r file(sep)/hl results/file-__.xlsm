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mputer Emergency\Desktop\scourpaper\Complex-Bridge-Pier-Scour-Calculator-1.0\NN&amp;GP-r file(sep)\hl results\"/>
    </mc:Choice>
  </mc:AlternateContent>
  <bookViews>
    <workbookView xWindow="0" yWindow="0" windowWidth="19200" windowHeight="7620"/>
  </bookViews>
  <sheets>
    <sheet name="case2" sheetId="1" r:id="rId1"/>
    <sheet name="case3" sheetId="2" r:id="rId2"/>
    <sheet name="case4" sheetId="3" r:id="rId3"/>
    <sheet name="case5" sheetId="4" r:id="rId4"/>
  </sheets>
  <functionGroups builtInGroupCount="18"/>
  <definedNames>
    <definedName name="solver_adj" localSheetId="1" hidden="1">case3!$N$8:$O$20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case3!$L$3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8" i="2" l="1"/>
  <c r="I2" i="2"/>
  <c r="I3" i="2"/>
  <c r="I1" i="2"/>
  <c r="I6" i="1"/>
  <c r="I8" i="1"/>
  <c r="I10" i="1"/>
  <c r="I12" i="1"/>
  <c r="I14" i="1"/>
  <c r="I16" i="1"/>
  <c r="I18" i="1"/>
  <c r="I20" i="1"/>
  <c r="I22" i="1"/>
  <c r="I24" i="1"/>
  <c r="I26" i="1"/>
  <c r="I28" i="1"/>
  <c r="I30" i="1"/>
  <c r="I32" i="1"/>
  <c r="I34" i="1"/>
  <c r="I36" i="1"/>
  <c r="I38" i="1"/>
  <c r="I40" i="1"/>
  <c r="I42" i="1"/>
  <c r="I44" i="1"/>
  <c r="I5" i="1"/>
  <c r="I7" i="1"/>
  <c r="I9" i="1"/>
  <c r="I11" i="1"/>
  <c r="I13" i="1"/>
  <c r="I15" i="1"/>
  <c r="I17" i="1"/>
  <c r="I19" i="1"/>
  <c r="I21" i="1"/>
  <c r="I23" i="1"/>
  <c r="I25" i="1"/>
  <c r="I27" i="1"/>
  <c r="I29" i="1"/>
  <c r="I31" i="1"/>
  <c r="I33" i="1"/>
  <c r="I35" i="1"/>
  <c r="I37" i="1"/>
  <c r="I39" i="1"/>
  <c r="I41" i="1"/>
  <c r="I43" i="1"/>
  <c r="I45" i="1"/>
  <c r="I3" i="3"/>
  <c r="I5" i="3"/>
  <c r="I7" i="3"/>
  <c r="I9" i="3"/>
  <c r="I11" i="3"/>
  <c r="I13" i="3"/>
  <c r="I15" i="3"/>
  <c r="I17" i="3"/>
  <c r="I19" i="3"/>
  <c r="I21" i="3"/>
  <c r="I23" i="3"/>
  <c r="I25" i="3"/>
  <c r="I27" i="3"/>
  <c r="I29" i="3"/>
  <c r="I31" i="3"/>
  <c r="I33" i="3"/>
  <c r="I35" i="3"/>
  <c r="I37" i="3"/>
  <c r="I39" i="3"/>
  <c r="I41" i="3"/>
  <c r="I43" i="3"/>
  <c r="I45" i="3"/>
  <c r="I47" i="3"/>
  <c r="I49" i="3"/>
  <c r="I51" i="3"/>
  <c r="I53" i="3"/>
  <c r="I55" i="3"/>
  <c r="I57" i="3"/>
  <c r="I59" i="3"/>
  <c r="I61" i="3"/>
  <c r="I63" i="3"/>
  <c r="I65" i="3"/>
  <c r="I67" i="3"/>
  <c r="I69" i="3"/>
  <c r="I71" i="3"/>
  <c r="I73" i="3"/>
  <c r="I75" i="3"/>
  <c r="I77" i="3"/>
  <c r="I79" i="3"/>
  <c r="I81" i="3"/>
  <c r="I83" i="3"/>
  <c r="I85" i="3"/>
  <c r="I87" i="3"/>
  <c r="I4" i="3"/>
  <c r="I6" i="3"/>
  <c r="I8" i="3"/>
  <c r="I10" i="3"/>
  <c r="I12" i="3"/>
  <c r="I14" i="3"/>
  <c r="I16" i="3"/>
  <c r="I18" i="3"/>
  <c r="I20" i="3"/>
  <c r="I22" i="3"/>
  <c r="I24" i="3"/>
  <c r="I26" i="3"/>
  <c r="I28" i="3"/>
  <c r="I30" i="3"/>
  <c r="I32" i="3"/>
  <c r="I34" i="3"/>
  <c r="I36" i="3"/>
  <c r="I40" i="3"/>
  <c r="I44" i="3"/>
  <c r="I48" i="3"/>
  <c r="I52" i="3"/>
  <c r="I56" i="3"/>
  <c r="I60" i="3"/>
  <c r="I64" i="3"/>
  <c r="I68" i="3"/>
  <c r="I72" i="3"/>
  <c r="I76" i="3"/>
  <c r="I80" i="3"/>
  <c r="I84" i="3"/>
  <c r="I88" i="3"/>
  <c r="I90" i="3"/>
  <c r="I92" i="3"/>
  <c r="I94" i="3"/>
  <c r="I96" i="3"/>
  <c r="I98" i="3"/>
  <c r="I100" i="3"/>
  <c r="I102" i="3"/>
  <c r="I104" i="3"/>
  <c r="I106" i="3"/>
  <c r="I108" i="3"/>
  <c r="I110" i="3"/>
  <c r="I112" i="3"/>
  <c r="I114" i="3"/>
  <c r="I116" i="3"/>
  <c r="I118" i="3"/>
  <c r="I120" i="3"/>
  <c r="I122" i="3"/>
  <c r="I124" i="3"/>
  <c r="I126" i="3"/>
  <c r="I128" i="3"/>
  <c r="I130" i="3"/>
  <c r="I132" i="3"/>
  <c r="I38" i="3"/>
  <c r="I42" i="3"/>
  <c r="I46" i="3"/>
  <c r="I50" i="3"/>
  <c r="I54" i="3"/>
  <c r="I58" i="3"/>
  <c r="I62" i="3"/>
  <c r="I66" i="3"/>
  <c r="I70" i="3"/>
  <c r="I74" i="3"/>
  <c r="I78" i="3"/>
  <c r="I82" i="3"/>
  <c r="I86" i="3"/>
  <c r="I89" i="3"/>
  <c r="I91" i="3"/>
  <c r="I93" i="3"/>
  <c r="I95" i="3"/>
  <c r="I97" i="3"/>
  <c r="I99" i="3"/>
  <c r="I101" i="3"/>
  <c r="I103" i="3"/>
  <c r="I105" i="3"/>
  <c r="I107" i="3"/>
  <c r="I109" i="3"/>
  <c r="I111" i="3"/>
  <c r="I113" i="3"/>
  <c r="I115" i="3"/>
  <c r="I117" i="3"/>
  <c r="I119" i="3"/>
  <c r="I121" i="3"/>
  <c r="I123" i="3"/>
  <c r="I125" i="3"/>
  <c r="I127" i="3"/>
  <c r="I129" i="3"/>
  <c r="I131" i="3"/>
  <c r="I6" i="4"/>
  <c r="I8" i="4"/>
  <c r="I10" i="4"/>
  <c r="I12" i="4"/>
  <c r="I14" i="4"/>
  <c r="I16" i="4"/>
  <c r="I18" i="4"/>
  <c r="I20" i="4"/>
  <c r="I22" i="4"/>
  <c r="I24" i="4"/>
  <c r="I26" i="4"/>
  <c r="I28" i="4"/>
  <c r="I30" i="4"/>
  <c r="I32" i="4"/>
  <c r="I34" i="4"/>
  <c r="I36" i="4"/>
  <c r="I38" i="4"/>
  <c r="I40" i="4"/>
  <c r="I42" i="4"/>
  <c r="I44" i="4"/>
  <c r="I46" i="4"/>
  <c r="I48" i="4"/>
  <c r="I50" i="4"/>
  <c r="I52" i="4"/>
  <c r="I54" i="4"/>
  <c r="I56" i="4"/>
  <c r="I58" i="4"/>
  <c r="I60" i="4"/>
  <c r="I62" i="4"/>
  <c r="I64" i="4"/>
  <c r="I66" i="4"/>
  <c r="I68" i="4"/>
  <c r="I70" i="4"/>
  <c r="I72" i="4"/>
  <c r="I74" i="4"/>
  <c r="I76" i="4"/>
  <c r="I5" i="4"/>
  <c r="I7" i="4"/>
  <c r="I9" i="4"/>
  <c r="I11" i="4"/>
  <c r="I13" i="4"/>
  <c r="I15" i="4"/>
  <c r="I17" i="4"/>
  <c r="I19" i="4"/>
  <c r="I21" i="4"/>
  <c r="I23" i="4"/>
  <c r="I25" i="4"/>
  <c r="I27" i="4"/>
  <c r="I29" i="4"/>
  <c r="I31" i="4"/>
  <c r="I33" i="4"/>
  <c r="I35" i="4"/>
  <c r="I37" i="4"/>
  <c r="I39" i="4"/>
  <c r="I41" i="4"/>
  <c r="I43" i="4"/>
  <c r="I45" i="4"/>
  <c r="I47" i="4"/>
  <c r="I49" i="4"/>
  <c r="I51" i="4"/>
  <c r="I53" i="4"/>
  <c r="I55" i="4"/>
  <c r="I57" i="4"/>
  <c r="I59" i="4"/>
  <c r="I61" i="4"/>
  <c r="I63" i="4"/>
  <c r="I65" i="4"/>
  <c r="I67" i="4"/>
  <c r="I69" i="4"/>
  <c r="I71" i="4"/>
  <c r="I73" i="4"/>
  <c r="I75" i="4"/>
  <c r="I77" i="4"/>
  <c r="I4" i="4"/>
  <c r="J5" i="2"/>
  <c r="J7" i="2"/>
  <c r="J9" i="2"/>
  <c r="J11" i="2"/>
  <c r="J13" i="2"/>
  <c r="J15" i="2"/>
  <c r="J17" i="2"/>
  <c r="J19" i="2"/>
  <c r="J21" i="2"/>
  <c r="J23" i="2"/>
  <c r="J25" i="2"/>
  <c r="J27" i="2"/>
  <c r="J29" i="2"/>
  <c r="J31" i="2"/>
  <c r="J33" i="2"/>
  <c r="J35" i="2"/>
  <c r="J37" i="2"/>
  <c r="J39" i="2"/>
  <c r="J41" i="2"/>
  <c r="J43" i="2"/>
  <c r="J45" i="2"/>
  <c r="J47" i="2"/>
  <c r="J49" i="2"/>
  <c r="J51" i="2"/>
  <c r="J53" i="2"/>
  <c r="J55" i="2"/>
  <c r="J57" i="2"/>
  <c r="J59" i="2"/>
  <c r="J61" i="2"/>
  <c r="J63" i="2"/>
  <c r="J65" i="2"/>
  <c r="J67" i="2"/>
  <c r="J69" i="2"/>
  <c r="J71" i="2"/>
  <c r="J73" i="2"/>
  <c r="J75" i="2"/>
  <c r="J77" i="2"/>
  <c r="J79" i="2"/>
  <c r="J81" i="2"/>
  <c r="J83" i="2"/>
  <c r="J85" i="2"/>
  <c r="J87" i="2"/>
  <c r="J89" i="2"/>
  <c r="J104" i="2"/>
  <c r="J6" i="2"/>
  <c r="J8" i="2"/>
  <c r="J10" i="2"/>
  <c r="J12" i="2"/>
  <c r="J14" i="2"/>
  <c r="J16" i="2"/>
  <c r="J18" i="2"/>
  <c r="J20" i="2"/>
  <c r="J22" i="2"/>
  <c r="J24" i="2"/>
  <c r="J26" i="2"/>
  <c r="J28" i="2"/>
  <c r="J30" i="2"/>
  <c r="J32" i="2"/>
  <c r="J34" i="2"/>
  <c r="J36" i="2"/>
  <c r="J38" i="2"/>
  <c r="J40" i="2"/>
  <c r="J42" i="2"/>
  <c r="J44" i="2"/>
  <c r="J46" i="2"/>
  <c r="J48" i="2"/>
  <c r="J50" i="2"/>
  <c r="J52" i="2"/>
  <c r="J54" i="2"/>
  <c r="J56" i="2"/>
  <c r="J58" i="2"/>
  <c r="J60" i="2"/>
  <c r="J62" i="2"/>
  <c r="J64" i="2"/>
  <c r="J66" i="2"/>
  <c r="J68" i="2"/>
  <c r="J70" i="2"/>
  <c r="J72" i="2"/>
  <c r="J74" i="2"/>
  <c r="J76" i="2"/>
  <c r="J78" i="2"/>
  <c r="J80" i="2"/>
  <c r="J82" i="2"/>
  <c r="J84" i="2"/>
  <c r="J86" i="2"/>
  <c r="J88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5" i="2"/>
  <c r="I2" i="3"/>
  <c r="J4" i="2"/>
  <c r="I4" i="1"/>
  <c r="J131" i="3" l="1"/>
  <c r="J129" i="3"/>
  <c r="J127" i="3"/>
  <c r="J125" i="3"/>
  <c r="J123" i="3"/>
  <c r="J121" i="3"/>
  <c r="J119" i="3"/>
  <c r="J117" i="3"/>
  <c r="J115" i="3"/>
  <c r="J113" i="3"/>
  <c r="J111" i="3"/>
  <c r="J109" i="3"/>
  <c r="J107" i="3"/>
  <c r="J105" i="3"/>
  <c r="J103" i="3"/>
  <c r="J101" i="3"/>
  <c r="J99" i="3"/>
  <c r="J97" i="3"/>
  <c r="J95" i="3"/>
  <c r="J93" i="3"/>
  <c r="J91" i="3"/>
  <c r="J89" i="3"/>
  <c r="J86" i="3"/>
  <c r="J82" i="3"/>
  <c r="J78" i="3"/>
  <c r="J74" i="3"/>
  <c r="J70" i="3"/>
  <c r="J66" i="3"/>
  <c r="J62" i="3"/>
  <c r="J58" i="3"/>
  <c r="J54" i="3"/>
  <c r="J50" i="3"/>
  <c r="J46" i="3"/>
  <c r="J42" i="3"/>
  <c r="J38" i="3"/>
  <c r="J132" i="3"/>
  <c r="J130" i="3"/>
  <c r="J128" i="3"/>
  <c r="J126" i="3"/>
  <c r="J124" i="3"/>
  <c r="J122" i="3"/>
  <c r="J120" i="3"/>
  <c r="J118" i="3"/>
  <c r="J116" i="3"/>
  <c r="J114" i="3"/>
  <c r="J112" i="3"/>
  <c r="J110" i="3"/>
  <c r="J108" i="3"/>
  <c r="J106" i="3"/>
  <c r="J104" i="3"/>
  <c r="J102" i="3"/>
  <c r="J100" i="3"/>
  <c r="J98" i="3"/>
  <c r="J96" i="3"/>
  <c r="J94" i="3"/>
  <c r="J92" i="3"/>
  <c r="J90" i="3"/>
  <c r="J88" i="3"/>
  <c r="J84" i="3"/>
  <c r="J80" i="3"/>
  <c r="J76" i="3"/>
  <c r="J72" i="3"/>
  <c r="J68" i="3"/>
  <c r="J64" i="3"/>
  <c r="J60" i="3"/>
  <c r="J56" i="3"/>
  <c r="J52" i="3"/>
  <c r="J48" i="3"/>
  <c r="J44" i="3"/>
  <c r="J40" i="3"/>
  <c r="J36" i="3"/>
  <c r="J34" i="3"/>
  <c r="J32" i="3"/>
  <c r="J30" i="3"/>
  <c r="J28" i="3"/>
  <c r="J26" i="3"/>
  <c r="J24" i="3"/>
  <c r="J22" i="3"/>
  <c r="J20" i="3"/>
  <c r="J18" i="3"/>
  <c r="J16" i="3"/>
  <c r="J14" i="3"/>
  <c r="J12" i="3"/>
  <c r="J10" i="3"/>
  <c r="J8" i="3"/>
  <c r="J6" i="3"/>
  <c r="J4" i="3"/>
  <c r="J87" i="3"/>
  <c r="J85" i="3"/>
  <c r="J83" i="3"/>
  <c r="J81" i="3"/>
  <c r="J79" i="3"/>
  <c r="J77" i="3"/>
  <c r="J75" i="3"/>
  <c r="J73" i="3"/>
  <c r="J71" i="3"/>
  <c r="J69" i="3"/>
  <c r="J67" i="3"/>
  <c r="J65" i="3"/>
  <c r="J63" i="3"/>
  <c r="J61" i="3"/>
  <c r="J59" i="3"/>
  <c r="J57" i="3"/>
  <c r="J55" i="3"/>
  <c r="J53" i="3"/>
  <c r="J51" i="3"/>
  <c r="J49" i="3"/>
  <c r="J47" i="3"/>
  <c r="J45" i="3"/>
  <c r="J43" i="3"/>
  <c r="J41" i="3"/>
  <c r="J39" i="3"/>
  <c r="J37" i="3"/>
  <c r="J35" i="3"/>
  <c r="J33" i="3"/>
  <c r="J31" i="3"/>
  <c r="J29" i="3"/>
  <c r="J27" i="3"/>
  <c r="J25" i="3"/>
  <c r="J23" i="3"/>
  <c r="J21" i="3"/>
  <c r="J19" i="3"/>
  <c r="J17" i="3"/>
  <c r="J15" i="3"/>
  <c r="J13" i="3"/>
  <c r="J11" i="3"/>
  <c r="J9" i="3"/>
  <c r="J7" i="3"/>
  <c r="J5" i="3"/>
  <c r="J3" i="3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K4" i="2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K105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8" i="2"/>
  <c r="K86" i="2"/>
  <c r="K84" i="2"/>
  <c r="K82" i="2"/>
  <c r="K80" i="2"/>
  <c r="K78" i="2"/>
  <c r="K76" i="2"/>
  <c r="K74" i="2"/>
  <c r="K72" i="2"/>
  <c r="K70" i="2"/>
  <c r="K68" i="2"/>
  <c r="K66" i="2"/>
  <c r="K64" i="2"/>
  <c r="K62" i="2"/>
  <c r="K60" i="2"/>
  <c r="K58" i="2"/>
  <c r="K56" i="2"/>
  <c r="K54" i="2"/>
  <c r="K52" i="2"/>
  <c r="K50" i="2"/>
  <c r="K48" i="2"/>
  <c r="K46" i="2"/>
  <c r="K44" i="2"/>
  <c r="K42" i="2"/>
  <c r="K40" i="2"/>
  <c r="K38" i="2"/>
  <c r="K36" i="2"/>
  <c r="K34" i="2"/>
  <c r="K32" i="2"/>
  <c r="K30" i="2"/>
  <c r="K28" i="2"/>
  <c r="K26" i="2"/>
  <c r="K24" i="2"/>
  <c r="K22" i="2"/>
  <c r="K20" i="2"/>
  <c r="K18" i="2"/>
  <c r="K16" i="2"/>
  <c r="K14" i="2"/>
  <c r="K12" i="2"/>
  <c r="K10" i="2"/>
  <c r="K8" i="2"/>
  <c r="K6" i="2"/>
  <c r="K104" i="2"/>
  <c r="K89" i="2"/>
  <c r="K87" i="2"/>
  <c r="K85" i="2"/>
  <c r="K83" i="2"/>
  <c r="K81" i="2"/>
  <c r="K79" i="2"/>
  <c r="K77" i="2"/>
  <c r="K75" i="2"/>
  <c r="K73" i="2"/>
  <c r="K71" i="2"/>
  <c r="K69" i="2"/>
  <c r="K67" i="2"/>
  <c r="K65" i="2"/>
  <c r="K63" i="2"/>
  <c r="K61" i="2"/>
  <c r="K59" i="2"/>
  <c r="K57" i="2"/>
  <c r="K55" i="2"/>
  <c r="K53" i="2"/>
  <c r="K51" i="2"/>
  <c r="K49" i="2"/>
  <c r="K47" i="2"/>
  <c r="K45" i="2"/>
  <c r="K43" i="2"/>
  <c r="K41" i="2"/>
  <c r="K39" i="2"/>
  <c r="K37" i="2"/>
  <c r="K35" i="2"/>
  <c r="K33" i="2"/>
  <c r="K31" i="2"/>
  <c r="K29" i="2"/>
  <c r="K27" i="2"/>
  <c r="K25" i="2"/>
  <c r="K23" i="2"/>
  <c r="K21" i="2"/>
  <c r="K19" i="2"/>
  <c r="K17" i="2"/>
  <c r="K15" i="2"/>
  <c r="K13" i="2"/>
  <c r="K11" i="2"/>
  <c r="K9" i="2"/>
  <c r="K7" i="2"/>
  <c r="K5" i="2"/>
  <c r="J2" i="3"/>
  <c r="I5" i="2"/>
  <c r="I100" i="2"/>
  <c r="I68" i="2"/>
  <c r="I36" i="2"/>
  <c r="I84" i="2"/>
  <c r="I52" i="2"/>
  <c r="I20" i="2"/>
  <c r="I92" i="2"/>
  <c r="I76" i="2"/>
  <c r="I60" i="2"/>
  <c r="I44" i="2"/>
  <c r="I28" i="2"/>
  <c r="I12" i="2"/>
  <c r="I104" i="2"/>
  <c r="I96" i="2"/>
  <c r="I88" i="2"/>
  <c r="I80" i="2"/>
  <c r="I72" i="2"/>
  <c r="I64" i="2"/>
  <c r="I56" i="2"/>
  <c r="I48" i="2"/>
  <c r="I40" i="2"/>
  <c r="I32" i="2"/>
  <c r="I24" i="2"/>
  <c r="I16" i="2"/>
  <c r="I8" i="2"/>
  <c r="I4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I105" i="2"/>
  <c r="I103" i="2"/>
  <c r="I101" i="2"/>
  <c r="I99" i="2"/>
  <c r="I97" i="2"/>
  <c r="I95" i="2"/>
  <c r="I93" i="2"/>
  <c r="I91" i="2"/>
  <c r="I89" i="2"/>
  <c r="I87" i="2"/>
  <c r="I85" i="2"/>
  <c r="I83" i="2"/>
  <c r="I81" i="2"/>
  <c r="I79" i="2"/>
  <c r="I77" i="2"/>
  <c r="I75" i="2"/>
  <c r="I73" i="2"/>
  <c r="I71" i="2"/>
  <c r="I69" i="2"/>
  <c r="I67" i="2"/>
  <c r="I65" i="2"/>
  <c r="I63" i="2"/>
  <c r="I61" i="2"/>
  <c r="I59" i="2"/>
  <c r="I57" i="2"/>
  <c r="I55" i="2"/>
  <c r="I53" i="2"/>
  <c r="I51" i="2"/>
  <c r="I49" i="2"/>
  <c r="I47" i="2"/>
  <c r="I45" i="2"/>
  <c r="I43" i="2"/>
  <c r="I41" i="2"/>
  <c r="I39" i="2"/>
  <c r="I37" i="2"/>
  <c r="I35" i="2"/>
  <c r="I33" i="2"/>
  <c r="I31" i="2"/>
  <c r="I29" i="2"/>
  <c r="I27" i="2"/>
  <c r="I25" i="2"/>
  <c r="I23" i="2"/>
  <c r="I21" i="2"/>
  <c r="I19" i="2"/>
  <c r="I17" i="2"/>
  <c r="I15" i="2"/>
  <c r="I13" i="2"/>
  <c r="I11" i="2"/>
  <c r="I9" i="2"/>
  <c r="I7" i="2"/>
  <c r="J4" i="1"/>
  <c r="K2" i="3" l="1"/>
  <c r="K64" i="4"/>
  <c r="L4" i="4" s="1"/>
  <c r="K4" i="4"/>
  <c r="K108" i="3"/>
  <c r="L2" i="3" s="1"/>
  <c r="L3" i="2"/>
  <c r="L2" i="2" s="1"/>
  <c r="K2" i="1"/>
  <c r="L86" i="2"/>
  <c r="M3" i="2" s="1"/>
  <c r="K37" i="1"/>
  <c r="L2" i="1" s="1"/>
</calcChain>
</file>

<file path=xl/sharedStrings.xml><?xml version="1.0" encoding="utf-8"?>
<sst xmlns="http://schemas.openxmlformats.org/spreadsheetml/2006/main" count="78" uniqueCount="21">
  <si>
    <t>population 1800</t>
  </si>
  <si>
    <t>generation 200</t>
  </si>
  <si>
    <t>x1</t>
  </si>
  <si>
    <t>x2</t>
  </si>
  <si>
    <t>x3</t>
  </si>
  <si>
    <t>x4</t>
  </si>
  <si>
    <t>x5</t>
  </si>
  <si>
    <t>x6</t>
  </si>
  <si>
    <t>x7</t>
  </si>
  <si>
    <t>z</t>
  </si>
  <si>
    <t>z pred</t>
  </si>
  <si>
    <t>err</t>
  </si>
  <si>
    <t>depth</t>
  </si>
  <si>
    <t>length</t>
  </si>
  <si>
    <t>complexity</t>
  </si>
  <si>
    <t>rmse train</t>
  </si>
  <si>
    <t>rmse test</t>
  </si>
  <si>
    <t>lenth</t>
  </si>
  <si>
    <t>train rmse</t>
  </si>
  <si>
    <t>test rmse</t>
  </si>
  <si>
    <t>case3_ = 0.7347 * x1 + 0.002022 * x2 / (0.6885 + Log(x2)) + 0.07148 * x2 / x6 - 3.684 * Exp(0.1089 * x2) - 0.002157 * Exp(7.232 * x1) + 4.81 + 0.2236 * Log(x2) - 0.01656 * x6 / (0.7068 + Log(x6)) - (0.2043 * (x6 - 1.103 * x5)) * (x6 + 0.006689 * x4 / (-0.04454 * x6 + 1.5524 + 2 * Log(x2)) + 2.525 - 0.1789 * Log(x4) - 0.01867 * Exp(3.629 * x6))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</si>
</sst>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5"/>
  <sheetViews>
    <sheetView tabSelected="1" workbookViewId="0">
      <selection activeCell="P7" sqref="P7"/>
    </sheetView>
  </sheetViews>
  <sheetFormatPr defaultRowHeight="14.4" x14ac:dyDescent="0.3"/>
  <sheetData>
    <row r="1" spans="1:18" x14ac:dyDescent="0.3">
      <c r="K1" s="2"/>
      <c r="L1" s="2"/>
      <c r="N1" t="s">
        <v>0</v>
      </c>
    </row>
    <row r="2" spans="1:18" x14ac:dyDescent="0.3">
      <c r="K2" s="2">
        <f>SQRT(SUMSQ(J4:J36)/COUNT(J4:J36))</f>
        <v>6.6214673063451496E-2</v>
      </c>
      <c r="L2" s="2">
        <f>K37</f>
        <v>9.0602684233304198E-2</v>
      </c>
      <c r="N2" t="s">
        <v>1</v>
      </c>
    </row>
    <row r="3" spans="1:18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N3" t="s">
        <v>12</v>
      </c>
      <c r="O3" t="s">
        <v>13</v>
      </c>
      <c r="P3" t="s">
        <v>14</v>
      </c>
      <c r="Q3" t="s">
        <v>15</v>
      </c>
      <c r="R3" t="s">
        <v>16</v>
      </c>
    </row>
    <row r="4" spans="1:18" x14ac:dyDescent="0.3">
      <c r="A4">
        <v>0.319090064269206</v>
      </c>
      <c r="B4">
        <v>0</v>
      </c>
      <c r="C4">
        <v>0.82650184040558405</v>
      </c>
      <c r="D4">
        <v>1</v>
      </c>
      <c r="E4">
        <v>0.173498159594416</v>
      </c>
      <c r="F4">
        <v>0.62504340579206896</v>
      </c>
      <c r="G4">
        <v>0</v>
      </c>
      <c r="H4">
        <v>0.75405657914857604</v>
      </c>
      <c r="I4" s="1">
        <f>case2_(A4,B4,C4,D4,E4,F4,G4)</f>
        <v>0.7683371223429053</v>
      </c>
      <c r="J4" s="1">
        <f>I4-H4</f>
        <v>1.4280543194329254E-2</v>
      </c>
      <c r="N4">
        <v>15</v>
      </c>
      <c r="O4">
        <v>131</v>
      </c>
      <c r="Q4" s="2">
        <v>2.6644297229700523E-2</v>
      </c>
      <c r="R4" s="2">
        <v>9.256818221006162E-2</v>
      </c>
    </row>
    <row r="5" spans="1:18" x14ac:dyDescent="0.3">
      <c r="A5">
        <v>0.319090064269206</v>
      </c>
      <c r="B5">
        <v>0</v>
      </c>
      <c r="C5">
        <v>0.901387226251672</v>
      </c>
      <c r="D5">
        <v>1</v>
      </c>
      <c r="E5">
        <v>9.8612773748327706E-2</v>
      </c>
      <c r="F5">
        <v>0.63375818604323597</v>
      </c>
      <c r="G5">
        <v>0</v>
      </c>
      <c r="H5">
        <v>0.85582920309320698</v>
      </c>
      <c r="I5" s="1">
        <f t="shared" ref="I5:I45" si="0">case2_(A5,B5,C5,D5,E5,F5,G5)</f>
        <v>0.6657011969416966</v>
      </c>
      <c r="J5" s="1">
        <f t="shared" ref="J5:J45" si="1">I5-H5</f>
        <v>-0.19012800615151038</v>
      </c>
    </row>
    <row r="6" spans="1:18" x14ac:dyDescent="0.3">
      <c r="A6">
        <v>0.319090064269206</v>
      </c>
      <c r="B6">
        <v>0</v>
      </c>
      <c r="C6">
        <v>0.88669031174164603</v>
      </c>
      <c r="D6">
        <v>1</v>
      </c>
      <c r="E6">
        <v>0.113309688258354</v>
      </c>
      <c r="F6">
        <v>0.60001600042667802</v>
      </c>
      <c r="G6">
        <v>0</v>
      </c>
      <c r="H6">
        <v>0.79189448301505305</v>
      </c>
      <c r="I6" s="1">
        <f t="shared" si="0"/>
        <v>0.66437564948979777</v>
      </c>
      <c r="J6" s="1">
        <f t="shared" si="1"/>
        <v>-0.12751883352525528</v>
      </c>
      <c r="N6">
        <v>9</v>
      </c>
      <c r="O6">
        <v>35</v>
      </c>
      <c r="Q6" s="2">
        <v>7.6971739782046369E-2</v>
      </c>
      <c r="R6" s="2">
        <v>6.98368031190605E-2</v>
      </c>
    </row>
    <row r="7" spans="1:18" x14ac:dyDescent="0.3">
      <c r="A7">
        <v>0.319090064269206</v>
      </c>
      <c r="B7">
        <v>0</v>
      </c>
      <c r="C7">
        <v>0.85173236983031198</v>
      </c>
      <c r="D7">
        <v>1</v>
      </c>
      <c r="E7">
        <v>0.148267630169688</v>
      </c>
      <c r="F7">
        <v>0.58068262468546405</v>
      </c>
      <c r="G7">
        <v>0</v>
      </c>
      <c r="H7">
        <v>0.52360802090689496</v>
      </c>
      <c r="I7" s="1">
        <f t="shared" si="0"/>
        <v>0.65683953202699219</v>
      </c>
      <c r="J7" s="1">
        <f t="shared" si="1"/>
        <v>0.13323151112009723</v>
      </c>
      <c r="N7" s="3">
        <v>6</v>
      </c>
      <c r="O7" s="3">
        <v>26</v>
      </c>
      <c r="Q7" s="2">
        <v>6.9179208424382466E-2</v>
      </c>
      <c r="R7" s="2">
        <v>9.0602684233304198E-2</v>
      </c>
    </row>
    <row r="8" spans="1:18" x14ac:dyDescent="0.3">
      <c r="A8">
        <v>0.30376590132493603</v>
      </c>
      <c r="B8">
        <v>0</v>
      </c>
      <c r="C8">
        <v>0.81349761971436596</v>
      </c>
      <c r="D8">
        <v>1</v>
      </c>
      <c r="E8">
        <v>0.18650238028563401</v>
      </c>
      <c r="F8">
        <v>0.60007200864103705</v>
      </c>
      <c r="G8">
        <v>0</v>
      </c>
      <c r="H8">
        <v>0.50692179902241297</v>
      </c>
      <c r="I8" s="1">
        <f t="shared" si="0"/>
        <v>0.50708619721481119</v>
      </c>
      <c r="J8" s="1">
        <f t="shared" si="1"/>
        <v>1.6439819239821851E-4</v>
      </c>
      <c r="N8" s="3">
        <v>9</v>
      </c>
      <c r="O8" s="3">
        <v>70</v>
      </c>
      <c r="Q8" s="2">
        <v>5.0218467551100238E-2</v>
      </c>
      <c r="R8" s="2">
        <v>5.1325037799852223E-2</v>
      </c>
    </row>
    <row r="9" spans="1:18" x14ac:dyDescent="0.3">
      <c r="A9">
        <v>0.30376590132493603</v>
      </c>
      <c r="B9">
        <v>0</v>
      </c>
      <c r="C9">
        <v>0.92855194982274303</v>
      </c>
      <c r="D9">
        <v>1</v>
      </c>
      <c r="E9">
        <v>7.14480501772565E-2</v>
      </c>
      <c r="F9">
        <v>0.58436246055553398</v>
      </c>
      <c r="G9">
        <v>0</v>
      </c>
      <c r="H9">
        <v>0.59645204124712603</v>
      </c>
      <c r="I9" s="1">
        <f t="shared" si="0"/>
        <v>0.66906340497027883</v>
      </c>
      <c r="J9" s="1">
        <f t="shared" si="1"/>
        <v>7.26113637231528E-2</v>
      </c>
    </row>
    <row r="10" spans="1:18" x14ac:dyDescent="0.3">
      <c r="A10">
        <v>0.30376590132493603</v>
      </c>
      <c r="B10">
        <v>0</v>
      </c>
      <c r="C10">
        <v>0.986838420610473</v>
      </c>
      <c r="D10">
        <v>1</v>
      </c>
      <c r="E10">
        <v>1.3161579389526799E-2</v>
      </c>
      <c r="F10">
        <v>0.60007200864103705</v>
      </c>
      <c r="G10">
        <v>0</v>
      </c>
      <c r="H10">
        <v>0.65292363494052896</v>
      </c>
      <c r="I10" s="1">
        <f t="shared" si="0"/>
        <v>0.67228638299883636</v>
      </c>
      <c r="J10" s="1">
        <f t="shared" si="1"/>
        <v>1.93627480583074E-2</v>
      </c>
    </row>
    <row r="11" spans="1:18" x14ac:dyDescent="0.3">
      <c r="A11">
        <v>0.485065502686992</v>
      </c>
      <c r="B11">
        <v>0</v>
      </c>
      <c r="C11">
        <v>0.77464788732394396</v>
      </c>
      <c r="D11">
        <v>1</v>
      </c>
      <c r="E11">
        <v>0.22535211267605601</v>
      </c>
      <c r="F11">
        <v>0.63380281690140805</v>
      </c>
      <c r="G11">
        <v>0</v>
      </c>
      <c r="H11">
        <v>0.61965370725136804</v>
      </c>
      <c r="I11" s="1">
        <f t="shared" si="0"/>
        <v>0.63745968740000547</v>
      </c>
      <c r="J11" s="1">
        <f t="shared" si="1"/>
        <v>1.7805980148637435E-2</v>
      </c>
    </row>
    <row r="12" spans="1:18" x14ac:dyDescent="0.3">
      <c r="A12">
        <v>0.485065502686992</v>
      </c>
      <c r="B12">
        <v>0</v>
      </c>
      <c r="C12">
        <v>0.88732394366197198</v>
      </c>
      <c r="D12">
        <v>1</v>
      </c>
      <c r="E12">
        <v>0.11267605633802801</v>
      </c>
      <c r="F12">
        <v>0.63380281690140805</v>
      </c>
      <c r="G12">
        <v>0</v>
      </c>
      <c r="H12">
        <v>0.66236274167767895</v>
      </c>
      <c r="I12" s="1">
        <f t="shared" si="0"/>
        <v>0.64885527921036057</v>
      </c>
      <c r="J12" s="1">
        <f t="shared" si="1"/>
        <v>-1.3507462467318376E-2</v>
      </c>
    </row>
    <row r="13" spans="1:18" x14ac:dyDescent="0.3">
      <c r="A13">
        <v>0.33339095296243298</v>
      </c>
      <c r="B13">
        <v>0</v>
      </c>
      <c r="C13">
        <v>0.9</v>
      </c>
      <c r="D13">
        <v>1</v>
      </c>
      <c r="E13">
        <v>9.9999999999999895E-2</v>
      </c>
      <c r="F13">
        <v>0.6</v>
      </c>
      <c r="G13">
        <v>0</v>
      </c>
      <c r="H13">
        <v>0.62839963105832397</v>
      </c>
      <c r="I13" s="1">
        <f t="shared" si="0"/>
        <v>0.66620175200278808</v>
      </c>
      <c r="J13" s="1">
        <f t="shared" si="1"/>
        <v>3.7802120944464113E-2</v>
      </c>
    </row>
    <row r="14" spans="1:18" x14ac:dyDescent="0.3">
      <c r="A14">
        <v>0.33339095296243298</v>
      </c>
      <c r="B14">
        <v>0</v>
      </c>
      <c r="C14">
        <v>0.897260273972603</v>
      </c>
      <c r="D14">
        <v>1</v>
      </c>
      <c r="E14">
        <v>0.102739726027397</v>
      </c>
      <c r="F14">
        <v>0.61643835616438403</v>
      </c>
      <c r="G14">
        <v>0</v>
      </c>
      <c r="H14">
        <v>0.53081907574647003</v>
      </c>
      <c r="I14" s="1">
        <f t="shared" si="0"/>
        <v>0.66565367126510189</v>
      </c>
      <c r="J14" s="1">
        <f t="shared" si="1"/>
        <v>0.13483459551863186</v>
      </c>
    </row>
    <row r="15" spans="1:18" x14ac:dyDescent="0.3">
      <c r="A15">
        <v>0.33943859102284801</v>
      </c>
      <c r="B15">
        <v>0</v>
      </c>
      <c r="C15">
        <v>0.83211678832116798</v>
      </c>
      <c r="D15">
        <v>1</v>
      </c>
      <c r="E15">
        <v>0.167883211678832</v>
      </c>
      <c r="F15">
        <v>0.65693430656934304</v>
      </c>
      <c r="G15">
        <v>0</v>
      </c>
      <c r="H15">
        <v>0.54847007497101696</v>
      </c>
      <c r="I15" s="1">
        <f t="shared" si="0"/>
        <v>0.64992373820203797</v>
      </c>
      <c r="J15" s="1">
        <f t="shared" si="1"/>
        <v>0.10145366323102101</v>
      </c>
    </row>
    <row r="16" spans="1:18" x14ac:dyDescent="0.3">
      <c r="A16">
        <v>0.48302343172405598</v>
      </c>
      <c r="B16">
        <v>0</v>
      </c>
      <c r="C16">
        <v>0.89130434782608703</v>
      </c>
      <c r="D16">
        <v>1</v>
      </c>
      <c r="E16">
        <v>0.108695652173913</v>
      </c>
      <c r="F16">
        <v>0.65217391304347805</v>
      </c>
      <c r="G16">
        <v>0</v>
      </c>
      <c r="H16">
        <v>0.63960010822979296</v>
      </c>
      <c r="I16" s="1">
        <f t="shared" si="0"/>
        <v>0.6495189375910837</v>
      </c>
      <c r="J16" s="1">
        <f t="shared" si="1"/>
        <v>9.9188293612907374E-3</v>
      </c>
    </row>
    <row r="17" spans="1:10" x14ac:dyDescent="0.3">
      <c r="A17">
        <v>0.48302343172405598</v>
      </c>
      <c r="B17">
        <v>0</v>
      </c>
      <c r="C17">
        <v>0.811594202898551</v>
      </c>
      <c r="D17">
        <v>1</v>
      </c>
      <c r="E17">
        <v>0.188405797101449</v>
      </c>
      <c r="F17">
        <v>0.65217391304347805</v>
      </c>
      <c r="G17">
        <v>0</v>
      </c>
      <c r="H17">
        <v>0.576195068987708</v>
      </c>
      <c r="I17" s="1">
        <f t="shared" si="0"/>
        <v>0.64362085584446105</v>
      </c>
      <c r="J17" s="1">
        <f t="shared" si="1"/>
        <v>6.7425786856753045E-2</v>
      </c>
    </row>
    <row r="18" spans="1:10" x14ac:dyDescent="0.3">
      <c r="A18">
        <v>0.31078053142483802</v>
      </c>
      <c r="B18">
        <v>0</v>
      </c>
      <c r="C18">
        <v>0.74</v>
      </c>
      <c r="D18">
        <v>1</v>
      </c>
      <c r="E18">
        <v>0.26</v>
      </c>
      <c r="F18">
        <v>1.48</v>
      </c>
      <c r="G18">
        <v>0</v>
      </c>
      <c r="H18">
        <v>0.79187721224818297</v>
      </c>
      <c r="I18" s="1">
        <f t="shared" si="0"/>
        <v>0.7138802412709121</v>
      </c>
      <c r="J18" s="1">
        <f t="shared" si="1"/>
        <v>-7.7996970977270874E-2</v>
      </c>
    </row>
    <row r="19" spans="1:10" x14ac:dyDescent="0.3">
      <c r="A19">
        <v>0.44558618529625499</v>
      </c>
      <c r="B19">
        <v>0</v>
      </c>
      <c r="C19">
        <v>0.7</v>
      </c>
      <c r="D19">
        <v>1</v>
      </c>
      <c r="E19">
        <v>0.3</v>
      </c>
      <c r="F19">
        <v>1</v>
      </c>
      <c r="G19">
        <v>0</v>
      </c>
      <c r="H19">
        <v>0.71037793992268405</v>
      </c>
      <c r="I19" s="1">
        <f t="shared" si="0"/>
        <v>0.77885537134563831</v>
      </c>
      <c r="J19" s="1">
        <f t="shared" si="1"/>
        <v>6.847743142295426E-2</v>
      </c>
    </row>
    <row r="20" spans="1:10" x14ac:dyDescent="0.3">
      <c r="A20">
        <v>0.44558618529625499</v>
      </c>
      <c r="B20">
        <v>0</v>
      </c>
      <c r="C20">
        <v>0.55000000000000004</v>
      </c>
      <c r="D20">
        <v>1</v>
      </c>
      <c r="E20">
        <v>0.45</v>
      </c>
      <c r="F20">
        <v>1</v>
      </c>
      <c r="G20">
        <v>0</v>
      </c>
      <c r="H20">
        <v>0.72503622437123105</v>
      </c>
      <c r="I20" s="1">
        <f t="shared" si="0"/>
        <v>0.69049532827601878</v>
      </c>
      <c r="J20" s="1">
        <f t="shared" si="1"/>
        <v>-3.454089609521227E-2</v>
      </c>
    </row>
    <row r="21" spans="1:10" x14ac:dyDescent="0.3">
      <c r="A21">
        <v>0.44558618529625499</v>
      </c>
      <c r="B21">
        <v>0</v>
      </c>
      <c r="C21">
        <v>0.4</v>
      </c>
      <c r="D21">
        <v>1</v>
      </c>
      <c r="E21">
        <v>0.6</v>
      </c>
      <c r="F21">
        <v>1</v>
      </c>
      <c r="G21">
        <v>0</v>
      </c>
      <c r="H21">
        <v>0.74382678239361499</v>
      </c>
      <c r="I21" s="1">
        <f t="shared" si="0"/>
        <v>0.67861994130462588</v>
      </c>
      <c r="J21" s="1">
        <f t="shared" si="1"/>
        <v>-6.5206841088989109E-2</v>
      </c>
    </row>
    <row r="22" spans="1:10" x14ac:dyDescent="0.3">
      <c r="A22">
        <v>0.51712291666666699</v>
      </c>
      <c r="B22">
        <v>0</v>
      </c>
      <c r="C22">
        <v>0.67777777777777803</v>
      </c>
      <c r="D22">
        <v>1</v>
      </c>
      <c r="E22">
        <v>0.32222222222222202</v>
      </c>
      <c r="F22">
        <v>0.66666666666666696</v>
      </c>
      <c r="G22">
        <v>0</v>
      </c>
      <c r="H22">
        <v>0.893360329437204</v>
      </c>
      <c r="I22" s="1">
        <f t="shared" si="0"/>
        <v>0.83586341666499542</v>
      </c>
      <c r="J22" s="1">
        <f t="shared" si="1"/>
        <v>-5.7496912772208586E-2</v>
      </c>
    </row>
    <row r="23" spans="1:10" x14ac:dyDescent="0.3">
      <c r="A23">
        <v>0.59769387755101999</v>
      </c>
      <c r="B23">
        <v>0</v>
      </c>
      <c r="C23">
        <v>0.45</v>
      </c>
      <c r="D23">
        <v>1</v>
      </c>
      <c r="E23">
        <v>0.55000000000000004</v>
      </c>
      <c r="F23">
        <v>0.49</v>
      </c>
      <c r="G23">
        <v>0</v>
      </c>
      <c r="H23">
        <v>1.08079025732791</v>
      </c>
      <c r="I23" s="1">
        <f t="shared" si="0"/>
        <v>1.0770089789677526</v>
      </c>
      <c r="J23" s="1">
        <f t="shared" si="1"/>
        <v>-3.7812783601574029E-3</v>
      </c>
    </row>
    <row r="24" spans="1:10" x14ac:dyDescent="0.3">
      <c r="A24">
        <v>0.59769387755101999</v>
      </c>
      <c r="B24">
        <v>0</v>
      </c>
      <c r="C24">
        <v>0.24</v>
      </c>
      <c r="D24">
        <v>1</v>
      </c>
      <c r="E24">
        <v>0.76</v>
      </c>
      <c r="F24">
        <v>0.49</v>
      </c>
      <c r="G24">
        <v>0</v>
      </c>
      <c r="H24">
        <v>1.07972987178547</v>
      </c>
      <c r="I24" s="1">
        <f t="shared" si="0"/>
        <v>1.0713072830767705</v>
      </c>
      <c r="J24" s="1">
        <f t="shared" si="1"/>
        <v>-8.4225887086994966E-3</v>
      </c>
    </row>
    <row r="25" spans="1:10" x14ac:dyDescent="0.3">
      <c r="A25">
        <v>0.27245455366140803</v>
      </c>
      <c r="B25">
        <v>0</v>
      </c>
      <c r="C25">
        <v>0.64973730297723298</v>
      </c>
      <c r="D25">
        <v>1</v>
      </c>
      <c r="E25">
        <v>0.35026269702276702</v>
      </c>
      <c r="F25">
        <v>1.0507880910683001</v>
      </c>
      <c r="G25">
        <v>0</v>
      </c>
      <c r="H25">
        <v>0.44192978912404501</v>
      </c>
      <c r="I25" s="1">
        <f t="shared" si="0"/>
        <v>0.44346887942883084</v>
      </c>
      <c r="J25" s="1">
        <f t="shared" si="1"/>
        <v>1.5390903047858284E-3</v>
      </c>
    </row>
    <row r="26" spans="1:10" x14ac:dyDescent="0.3">
      <c r="A26">
        <v>0.56428</v>
      </c>
      <c r="B26">
        <v>0</v>
      </c>
      <c r="C26">
        <v>0.90551181102362199</v>
      </c>
      <c r="D26">
        <v>1</v>
      </c>
      <c r="E26">
        <v>9.4488188976377896E-2</v>
      </c>
      <c r="F26">
        <v>0.47244094488188998</v>
      </c>
      <c r="G26">
        <v>0</v>
      </c>
      <c r="H26">
        <v>0.54003422963894898</v>
      </c>
      <c r="I26" s="1">
        <f t="shared" si="0"/>
        <v>0.53461640481113515</v>
      </c>
      <c r="J26" s="1">
        <f t="shared" si="1"/>
        <v>-5.417824827813833E-3</v>
      </c>
    </row>
    <row r="27" spans="1:10" x14ac:dyDescent="0.3">
      <c r="A27">
        <v>0.56428</v>
      </c>
      <c r="B27">
        <v>0</v>
      </c>
      <c r="C27">
        <v>0.66929133858267698</v>
      </c>
      <c r="D27">
        <v>1</v>
      </c>
      <c r="E27">
        <v>0.33070866141732302</v>
      </c>
      <c r="F27">
        <v>0.47244094488188998</v>
      </c>
      <c r="G27">
        <v>0</v>
      </c>
      <c r="H27">
        <v>0.50258585117366805</v>
      </c>
      <c r="I27" s="1">
        <f t="shared" si="0"/>
        <v>0.46947859762504018</v>
      </c>
      <c r="J27" s="1">
        <f t="shared" si="1"/>
        <v>-3.3107253548627869E-2</v>
      </c>
    </row>
    <row r="28" spans="1:10" x14ac:dyDescent="0.3">
      <c r="A28">
        <v>0.56428</v>
      </c>
      <c r="B28">
        <v>0</v>
      </c>
      <c r="C28">
        <v>0.511811023622047</v>
      </c>
      <c r="D28">
        <v>1</v>
      </c>
      <c r="E28">
        <v>0.488188976377953</v>
      </c>
      <c r="F28">
        <v>0.47244094488188998</v>
      </c>
      <c r="G28">
        <v>0</v>
      </c>
      <c r="H28">
        <v>0.52036911259072904</v>
      </c>
      <c r="I28" s="1">
        <f t="shared" si="0"/>
        <v>0.55631359302009731</v>
      </c>
      <c r="J28" s="1">
        <f t="shared" si="1"/>
        <v>3.5944480429368264E-2</v>
      </c>
    </row>
    <row r="29" spans="1:10" x14ac:dyDescent="0.3">
      <c r="A29">
        <v>0.56428</v>
      </c>
      <c r="B29">
        <v>0</v>
      </c>
      <c r="C29">
        <v>0.43307086614173201</v>
      </c>
      <c r="D29">
        <v>1</v>
      </c>
      <c r="E29">
        <v>0.56692913385826804</v>
      </c>
      <c r="F29">
        <v>0.47244094488188998</v>
      </c>
      <c r="G29">
        <v>0</v>
      </c>
      <c r="H29">
        <v>0.51287798990750799</v>
      </c>
      <c r="I29" s="1">
        <f t="shared" si="0"/>
        <v>0.55084968649509192</v>
      </c>
      <c r="J29" s="1">
        <f t="shared" si="1"/>
        <v>3.7971696587583925E-2</v>
      </c>
    </row>
    <row r="30" spans="1:10" x14ac:dyDescent="0.3">
      <c r="A30">
        <v>0.56428</v>
      </c>
      <c r="B30">
        <v>0</v>
      </c>
      <c r="C30">
        <v>0.35433070866141703</v>
      </c>
      <c r="D30">
        <v>1</v>
      </c>
      <c r="E30">
        <v>0.64566929133858297</v>
      </c>
      <c r="F30">
        <v>0.47244094488188998</v>
      </c>
      <c r="G30">
        <v>0</v>
      </c>
      <c r="H30">
        <v>0.51691088829982601</v>
      </c>
      <c r="I30" s="1">
        <f t="shared" si="0"/>
        <v>0.54837652052643882</v>
      </c>
      <c r="J30" s="1">
        <f t="shared" si="1"/>
        <v>3.1465632226612805E-2</v>
      </c>
    </row>
    <row r="31" spans="1:10" x14ac:dyDescent="0.3">
      <c r="A31">
        <v>0.56428</v>
      </c>
      <c r="B31">
        <v>0</v>
      </c>
      <c r="C31">
        <v>0.27559055118110198</v>
      </c>
      <c r="D31">
        <v>1</v>
      </c>
      <c r="E31">
        <v>0.72440944881889802</v>
      </c>
      <c r="F31">
        <v>0.47244094488188998</v>
      </c>
      <c r="G31">
        <v>0</v>
      </c>
      <c r="H31">
        <v>0.52641228905528903</v>
      </c>
      <c r="I31" s="1">
        <f t="shared" si="0"/>
        <v>0.54696587972651345</v>
      </c>
      <c r="J31" s="1">
        <f t="shared" si="1"/>
        <v>2.055359067122442E-2</v>
      </c>
    </row>
    <row r="32" spans="1:10" x14ac:dyDescent="0.3">
      <c r="A32">
        <v>0.56428</v>
      </c>
      <c r="B32">
        <v>0</v>
      </c>
      <c r="C32">
        <v>0.196850393700787</v>
      </c>
      <c r="D32">
        <v>1</v>
      </c>
      <c r="E32">
        <v>0.80314960629921295</v>
      </c>
      <c r="F32">
        <v>0.47244094488188998</v>
      </c>
      <c r="G32">
        <v>0</v>
      </c>
      <c r="H32">
        <v>0.53053808049791995</v>
      </c>
      <c r="I32" s="1">
        <f t="shared" si="0"/>
        <v>0.54605405431403542</v>
      </c>
      <c r="J32" s="1">
        <f t="shared" si="1"/>
        <v>1.5515973816115469E-2</v>
      </c>
    </row>
    <row r="33" spans="1:11" x14ac:dyDescent="0.3">
      <c r="A33">
        <v>0.56428</v>
      </c>
      <c r="B33">
        <v>0</v>
      </c>
      <c r="C33">
        <v>0.118110236220472</v>
      </c>
      <c r="D33">
        <v>1</v>
      </c>
      <c r="E33">
        <v>0.88188976377952799</v>
      </c>
      <c r="F33">
        <v>0.47244094488188998</v>
      </c>
      <c r="G33">
        <v>0</v>
      </c>
      <c r="H33">
        <v>0.58217869759262997</v>
      </c>
      <c r="I33" s="1">
        <f t="shared" si="0"/>
        <v>0.54541619862968549</v>
      </c>
      <c r="J33" s="1">
        <f t="shared" si="1"/>
        <v>-3.6762498962944479E-2</v>
      </c>
    </row>
    <row r="34" spans="1:11" x14ac:dyDescent="0.3">
      <c r="A34">
        <v>0.56428</v>
      </c>
      <c r="B34">
        <v>0</v>
      </c>
      <c r="C34">
        <v>7.8740157480315001E-2</v>
      </c>
      <c r="D34">
        <v>1</v>
      </c>
      <c r="E34">
        <v>0.92125984251968496</v>
      </c>
      <c r="F34">
        <v>0.47244094488188998</v>
      </c>
      <c r="G34">
        <v>0</v>
      </c>
      <c r="H34">
        <v>0.62731123927434096</v>
      </c>
      <c r="I34" s="1">
        <f t="shared" si="0"/>
        <v>0.54516411648443397</v>
      </c>
      <c r="J34" s="1">
        <f t="shared" si="1"/>
        <v>-8.214712278990699E-2</v>
      </c>
    </row>
    <row r="35" spans="1:11" x14ac:dyDescent="0.3">
      <c r="A35">
        <v>0.24866889861532601</v>
      </c>
      <c r="B35">
        <v>0</v>
      </c>
      <c r="C35">
        <v>0.83</v>
      </c>
      <c r="D35">
        <v>1</v>
      </c>
      <c r="E35">
        <v>0.17</v>
      </c>
      <c r="F35">
        <v>1.5</v>
      </c>
      <c r="G35">
        <v>0</v>
      </c>
      <c r="H35">
        <v>0.95237188425948804</v>
      </c>
      <c r="I35" s="1">
        <f t="shared" si="0"/>
        <v>0.93736336540247012</v>
      </c>
      <c r="J35" s="1">
        <f t="shared" si="1"/>
        <v>-1.5008518857017927E-2</v>
      </c>
    </row>
    <row r="36" spans="1:11" x14ac:dyDescent="0.3">
      <c r="A36">
        <v>0.368816399721904</v>
      </c>
      <c r="B36">
        <v>0</v>
      </c>
      <c r="C36">
        <v>0.76</v>
      </c>
      <c r="D36">
        <v>1</v>
      </c>
      <c r="E36">
        <v>0.24</v>
      </c>
      <c r="F36">
        <v>0.48</v>
      </c>
      <c r="G36">
        <v>0</v>
      </c>
      <c r="H36">
        <v>0.963378239915896</v>
      </c>
      <c r="I36" s="1">
        <f t="shared" si="0"/>
        <v>0.97672003047154077</v>
      </c>
      <c r="J36" s="1">
        <f t="shared" si="1"/>
        <v>1.3341790555644772E-2</v>
      </c>
    </row>
    <row r="37" spans="1:11" x14ac:dyDescent="0.3">
      <c r="A37" t="s">
        <v>2</v>
      </c>
      <c r="B37" t="s">
        <v>3</v>
      </c>
      <c r="C37" t="s">
        <v>4</v>
      </c>
      <c r="D37" t="s">
        <v>5</v>
      </c>
      <c r="E37" t="s">
        <v>6</v>
      </c>
      <c r="F37" t="s">
        <v>7</v>
      </c>
      <c r="G37" t="s">
        <v>8</v>
      </c>
      <c r="H37" t="s">
        <v>9</v>
      </c>
      <c r="I37" s="1" t="e">
        <f t="shared" si="0"/>
        <v>#VALUE!</v>
      </c>
      <c r="J37" s="1" t="e">
        <f t="shared" si="1"/>
        <v>#VALUE!</v>
      </c>
      <c r="K37">
        <f>SQRT(SUMSQ(J39:J45)/COUNT(J39:J45))</f>
        <v>9.0602684233304198E-2</v>
      </c>
    </row>
    <row r="38" spans="1:11" x14ac:dyDescent="0.3">
      <c r="A38">
        <v>0.319090064269206</v>
      </c>
      <c r="B38">
        <v>0</v>
      </c>
      <c r="C38">
        <v>0.85141289511736995</v>
      </c>
      <c r="D38">
        <v>1</v>
      </c>
      <c r="E38">
        <v>0.14858710488262999</v>
      </c>
      <c r="F38">
        <v>0.60813276213900602</v>
      </c>
      <c r="G38">
        <v>0</v>
      </c>
      <c r="H38">
        <v>0.73994047317206502</v>
      </c>
      <c r="I38" s="1">
        <f t="shared" si="0"/>
        <v>0.65583546179814911</v>
      </c>
      <c r="J38" s="1">
        <f t="shared" si="1"/>
        <v>-8.4105011373915906E-2</v>
      </c>
    </row>
    <row r="39" spans="1:11" x14ac:dyDescent="0.3">
      <c r="A39">
        <v>0.485065502686992</v>
      </c>
      <c r="B39">
        <v>0</v>
      </c>
      <c r="C39">
        <v>0.86619718309859195</v>
      </c>
      <c r="D39">
        <v>1</v>
      </c>
      <c r="E39">
        <v>0.13380281690140799</v>
      </c>
      <c r="F39">
        <v>0.63380281690140805</v>
      </c>
      <c r="G39">
        <v>0</v>
      </c>
      <c r="H39">
        <v>0.57452769170888396</v>
      </c>
      <c r="I39" s="1">
        <f t="shared" si="0"/>
        <v>0.64775351115703828</v>
      </c>
      <c r="J39" s="1">
        <f t="shared" si="1"/>
        <v>7.3225819448154317E-2</v>
      </c>
    </row>
    <row r="40" spans="1:11" x14ac:dyDescent="0.3">
      <c r="A40">
        <v>0.33943859102284801</v>
      </c>
      <c r="B40">
        <v>0</v>
      </c>
      <c r="C40">
        <v>0.85</v>
      </c>
      <c r="D40">
        <v>1</v>
      </c>
      <c r="E40">
        <v>0.15</v>
      </c>
      <c r="F40">
        <v>0.64285714285714302</v>
      </c>
      <c r="G40">
        <v>0</v>
      </c>
      <c r="H40">
        <v>0.55633283991580895</v>
      </c>
      <c r="I40" s="1">
        <f t="shared" si="0"/>
        <v>0.6571724394379046</v>
      </c>
      <c r="J40" s="1">
        <f t="shared" si="1"/>
        <v>0.10083959952209565</v>
      </c>
    </row>
    <row r="41" spans="1:11" x14ac:dyDescent="0.3">
      <c r="A41">
        <v>0.59769387755101999</v>
      </c>
      <c r="B41">
        <v>0</v>
      </c>
      <c r="C41">
        <v>0.01</v>
      </c>
      <c r="D41">
        <v>1</v>
      </c>
      <c r="E41">
        <v>0.99</v>
      </c>
      <c r="F41">
        <v>0.49</v>
      </c>
      <c r="G41">
        <v>0</v>
      </c>
      <c r="H41">
        <v>1.18845467109234</v>
      </c>
      <c r="I41" s="1">
        <f t="shared" si="0"/>
        <v>1.0694914972877529</v>
      </c>
      <c r="J41" s="1">
        <f t="shared" si="1"/>
        <v>-0.1189631738045871</v>
      </c>
    </row>
    <row r="42" spans="1:11" x14ac:dyDescent="0.3">
      <c r="A42">
        <v>0.56428</v>
      </c>
      <c r="B42">
        <v>0</v>
      </c>
      <c r="C42">
        <v>0.82677165354330695</v>
      </c>
      <c r="D42">
        <v>1</v>
      </c>
      <c r="E42">
        <v>0.17322834645669299</v>
      </c>
      <c r="F42">
        <v>0.47244094488188998</v>
      </c>
      <c r="G42">
        <v>0</v>
      </c>
      <c r="H42">
        <v>0.52845338176512402</v>
      </c>
      <c r="I42" s="1">
        <f t="shared" si="0"/>
        <v>0.53154218850592927</v>
      </c>
      <c r="J42" s="1">
        <f t="shared" si="1"/>
        <v>3.08880674080525E-3</v>
      </c>
    </row>
    <row r="43" spans="1:11" x14ac:dyDescent="0.3">
      <c r="A43">
        <v>0.56428</v>
      </c>
      <c r="B43">
        <v>0</v>
      </c>
      <c r="C43">
        <v>0.74803149606299202</v>
      </c>
      <c r="D43">
        <v>1</v>
      </c>
      <c r="E43">
        <v>0.25196850393700798</v>
      </c>
      <c r="F43">
        <v>0.47244094488188998</v>
      </c>
      <c r="G43">
        <v>0</v>
      </c>
      <c r="H43">
        <v>0.524053092168004</v>
      </c>
      <c r="I43" s="1">
        <f t="shared" si="0"/>
        <v>0.5238684749141771</v>
      </c>
      <c r="J43" s="1">
        <f t="shared" si="1"/>
        <v>-1.8461725382690197E-4</v>
      </c>
    </row>
    <row r="44" spans="1:11" x14ac:dyDescent="0.3">
      <c r="A44">
        <v>0.56428</v>
      </c>
      <c r="B44">
        <v>0</v>
      </c>
      <c r="C44">
        <v>0.59055118110236204</v>
      </c>
      <c r="D44">
        <v>1</v>
      </c>
      <c r="E44">
        <v>0.40944881889763801</v>
      </c>
      <c r="F44">
        <v>0.47244094488188998</v>
      </c>
      <c r="G44">
        <v>0</v>
      </c>
      <c r="H44">
        <v>0.540478853840207</v>
      </c>
      <c r="I44" s="1">
        <f t="shared" si="0"/>
        <v>0.57860638620202998</v>
      </c>
      <c r="J44" s="1">
        <f t="shared" si="1"/>
        <v>3.812753236182298E-2</v>
      </c>
    </row>
    <row r="45" spans="1:11" x14ac:dyDescent="0.3">
      <c r="A45">
        <v>0.24866889861532601</v>
      </c>
      <c r="B45">
        <v>0</v>
      </c>
      <c r="C45">
        <v>0.81</v>
      </c>
      <c r="D45">
        <v>1</v>
      </c>
      <c r="E45">
        <v>0.19</v>
      </c>
      <c r="F45">
        <v>1.5</v>
      </c>
      <c r="G45">
        <v>0</v>
      </c>
      <c r="H45">
        <v>0.92776099584253802</v>
      </c>
      <c r="I45" s="1">
        <f t="shared" si="0"/>
        <v>0.76553966860701772</v>
      </c>
      <c r="J45" s="1">
        <f t="shared" si="1"/>
        <v>-0.1622213272355203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05"/>
  <sheetViews>
    <sheetView topLeftCell="B1" workbookViewId="0">
      <selection activeCell="P6" sqref="P6:Q6"/>
    </sheetView>
  </sheetViews>
  <sheetFormatPr defaultRowHeight="14.4" x14ac:dyDescent="0.3"/>
  <sheetData>
    <row r="1" spans="1:19" x14ac:dyDescent="0.3">
      <c r="I1" s="2" t="e">
        <f xml:space="preserve"> 0.7347 * A1 + 0.002022 * B1 / (0.6885 + LN(B1)) + 0.07148 * B1 / F1 - 3.684 * EXP(0.1089 * B1) - 0.002157 * EXP(7.232 * A1) + 4.81 + 0.2236 * LN(B1) - 0.01656 * F1 / (0.7068 + LN(F1)) - (0.2043 * (F1 - 1.103 * E1)) * (F1 + 0.006689 * D1 / (-0.04454 * F1 + 1.5524 + 2 * LN(B1)) + 2.525 - 0.1789 * LN(D1) - 0.01867 * EXP(3.629 * F1))</f>
        <v>#NUM!</v>
      </c>
    </row>
    <row r="2" spans="1:19" x14ac:dyDescent="0.3">
      <c r="I2" s="2" t="e">
        <f t="shared" ref="I2:I65" si="0" xml:space="preserve"> 0.7347 * A2 + 0.002022 * B2 / (0.6885 + LN(B2)) + 0.07148 * B2 / F2 - 3.684 * EXP(0.1089 * B2) - 0.002157 * EXP(7.232 * A2) + 4.81 + 0.2236 * LN(B2) - 0.01656 * F2 / (0.7068 + LN(F2)) - (0.2043 * (F2 - 1.103 * E2)) * (F2 + 0.006689 * D2 / (-0.04454 * F2 + 1.5524 + 2 * LN(B2)) + 2.525 - 0.1789 * LN(D2) - 0.01867 * EXP(3.629 * F2))</f>
        <v>#NUM!</v>
      </c>
      <c r="L2">
        <f>L3^2</f>
        <v>0.58310328911282405</v>
      </c>
    </row>
    <row r="3" spans="1:19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s="2" t="e">
        <f t="shared" si="0"/>
        <v>#VALUE!</v>
      </c>
      <c r="L3" s="2">
        <f>SQRT(SUMSQ(K4:K85)/COUNT(K4:K85))</f>
        <v>0.76361200168202181</v>
      </c>
      <c r="M3" s="2">
        <f>L86</f>
        <v>0.67140763703200768</v>
      </c>
    </row>
    <row r="4" spans="1:19" x14ac:dyDescent="0.3">
      <c r="A4">
        <v>0.31991092333550902</v>
      </c>
      <c r="B4">
        <v>0.48571428571428599</v>
      </c>
      <c r="C4">
        <v>9.2691029900332206E-2</v>
      </c>
      <c r="D4">
        <v>0.204318936877076</v>
      </c>
      <c r="E4">
        <v>0.111627906976744</v>
      </c>
      <c r="F4">
        <v>0.46511627906976699</v>
      </c>
      <c r="G4">
        <v>0.86764705882352899</v>
      </c>
      <c r="H4">
        <v>0.97744910883861502</v>
      </c>
      <c r="I4" s="2">
        <f xml:space="preserve"> N$8 * A4 + N$9 * B4 / (O$8 + LN(B4)) + N$10 * B4 / F4 - N$11 * EXP(O$9 * B4) - N$12 * EXP(O$10 * A4) + N$13 + N$14 * LN(B4) - N$15 * F4 / (O$11 + LN(F4)) - (N$16 * (F4 - O$12 * E4)) * (F4 + O$13 * D4 / (-O$14 * F4 + O$15 + O$16 * LN(B4)) + O$17 - O$18 * LN(D4) - N$17 * EXP(O$19 * F4))</f>
        <v>0.99221436269645547</v>
      </c>
      <c r="J4" s="2">
        <f>case3_(A4,B4,C4,D4,E4,F4,G4)</f>
        <v>0</v>
      </c>
      <c r="K4" s="2">
        <f>J4-H4</f>
        <v>-0.97744910883861502</v>
      </c>
      <c r="P4" t="s">
        <v>12</v>
      </c>
      <c r="Q4" t="s">
        <v>17</v>
      </c>
      <c r="R4" t="s">
        <v>18</v>
      </c>
      <c r="S4" t="s">
        <v>19</v>
      </c>
    </row>
    <row r="5" spans="1:19" x14ac:dyDescent="0.3">
      <c r="A5">
        <v>0.319090064269206</v>
      </c>
      <c r="B5">
        <v>0.24444444444444399</v>
      </c>
      <c r="C5">
        <v>3.29214858090238E-2</v>
      </c>
      <c r="D5">
        <v>0.24345057171804901</v>
      </c>
      <c r="E5">
        <v>0.210529085909025</v>
      </c>
      <c r="F5">
        <v>0.59211305411913295</v>
      </c>
      <c r="G5">
        <v>0.68181818181818199</v>
      </c>
      <c r="H5">
        <v>0.70688797326148201</v>
      </c>
      <c r="I5" s="2">
        <f t="shared" ref="I5:I68" si="1" xml:space="preserve"> N$8 * A5 + N$9 * B5 / (O$8 + LN(B5)) + N$10 * B5 / F5 - N$11 * EXP(O$9 * B5) - N$12 * EXP(O$10 * A5) + N$13 + N$14 * LN(B5) - N$15 * F5 / (O$11 + LN(F5)) - (N$16 * (F5 - O$12 * E5)) * (F5 + O$13 * D5 / (-O$14 * F5 + O$15 + O$16 * LN(B5)) + O$17 - O$18 * LN(D5) - N$17 * EXP(O$19 * F5))</f>
        <v>0.62687011433838191</v>
      </c>
      <c r="J5" s="2">
        <f t="shared" ref="J5:J68" si="2">case3_(A5,B5,C5,D5,E5,F5,G5)</f>
        <v>0</v>
      </c>
      <c r="K5" s="2">
        <f t="shared" ref="K5:K68" si="3">J5-H5</f>
        <v>-0.70688797326148201</v>
      </c>
      <c r="P5">
        <v>12</v>
      </c>
      <c r="Q5">
        <v>93</v>
      </c>
      <c r="R5" s="2">
        <v>8.6954334794167129E-2</v>
      </c>
      <c r="S5" s="2">
        <v>8.358441973198287E-2</v>
      </c>
    </row>
    <row r="6" spans="1:19" x14ac:dyDescent="0.3">
      <c r="A6">
        <v>0.319090064269206</v>
      </c>
      <c r="B6">
        <v>0.24444444444444399</v>
      </c>
      <c r="C6">
        <v>3.29214858090238E-2</v>
      </c>
      <c r="D6">
        <v>0.24345057171804901</v>
      </c>
      <c r="E6">
        <v>0.210529085909025</v>
      </c>
      <c r="F6">
        <v>0.59211305411913295</v>
      </c>
      <c r="G6">
        <v>0.68181818181818199</v>
      </c>
      <c r="H6">
        <v>0.61683814965146599</v>
      </c>
      <c r="I6" s="2">
        <f t="shared" si="1"/>
        <v>0.62687011433838191</v>
      </c>
      <c r="J6" s="2">
        <f t="shared" si="2"/>
        <v>0</v>
      </c>
      <c r="K6" s="2">
        <f t="shared" si="3"/>
        <v>-0.61683814965146599</v>
      </c>
      <c r="P6" s="3">
        <v>6</v>
      </c>
      <c r="Q6" s="3">
        <v>21</v>
      </c>
      <c r="R6" s="2">
        <v>0.11327269680748871</v>
      </c>
      <c r="S6" s="2">
        <v>0.1151151244435024</v>
      </c>
    </row>
    <row r="7" spans="1:19" x14ac:dyDescent="0.3">
      <c r="A7">
        <v>0.319090064269206</v>
      </c>
      <c r="B7">
        <v>0.24444444444444399</v>
      </c>
      <c r="C7">
        <v>9.27235643144734E-2</v>
      </c>
      <c r="D7">
        <v>0.30463286713286702</v>
      </c>
      <c r="E7">
        <v>0.21190930281839401</v>
      </c>
      <c r="F7">
        <v>0.595994914176732</v>
      </c>
      <c r="G7">
        <v>0.68181818181818199</v>
      </c>
      <c r="H7">
        <v>0.65247126126871702</v>
      </c>
      <c r="I7" s="2">
        <f t="shared" si="1"/>
        <v>0.63028744131466197</v>
      </c>
      <c r="J7" s="2">
        <f t="shared" si="2"/>
        <v>0</v>
      </c>
      <c r="K7" s="2">
        <f t="shared" si="3"/>
        <v>-0.65247126126871702</v>
      </c>
      <c r="M7" s="3"/>
      <c r="P7" s="3">
        <v>9</v>
      </c>
      <c r="Q7" s="3">
        <v>52</v>
      </c>
      <c r="R7" s="2">
        <v>9.174732192309476E-2</v>
      </c>
      <c r="S7" s="2">
        <v>9.1637940212529259E-2</v>
      </c>
    </row>
    <row r="8" spans="1:19" x14ac:dyDescent="0.3">
      <c r="A8">
        <v>0.319090064269206</v>
      </c>
      <c r="B8">
        <v>0.24444444444444399</v>
      </c>
      <c r="C8">
        <v>0.274586296739666</v>
      </c>
      <c r="D8">
        <v>0.49992254066614999</v>
      </c>
      <c r="E8">
        <v>0.22533624392648399</v>
      </c>
      <c r="F8">
        <v>0.63375818604323597</v>
      </c>
      <c r="G8">
        <v>0.68181818181818199</v>
      </c>
      <c r="H8">
        <v>0.78342561907072505</v>
      </c>
      <c r="I8" s="2">
        <f t="shared" si="1"/>
        <v>0.62561185389917351</v>
      </c>
      <c r="J8" s="2">
        <f t="shared" si="2"/>
        <v>0</v>
      </c>
      <c r="K8" s="2">
        <f t="shared" si="3"/>
        <v>-0.78342561907072505</v>
      </c>
      <c r="N8">
        <v>3.2058748225655229E-2</v>
      </c>
      <c r="O8">
        <v>0.29661476403037801</v>
      </c>
      <c r="P8">
        <f ca="1">RAND()</f>
        <v>0.23398468882340906</v>
      </c>
      <c r="R8" s="2"/>
      <c r="S8" s="2"/>
    </row>
    <row r="9" spans="1:19" x14ac:dyDescent="0.3">
      <c r="A9">
        <v>0.319090064269206</v>
      </c>
      <c r="B9">
        <v>0.24444444444444399</v>
      </c>
      <c r="C9">
        <v>0.56377595533065805</v>
      </c>
      <c r="D9">
        <v>0.77853240809094904</v>
      </c>
      <c r="E9">
        <v>0.21475645276029201</v>
      </c>
      <c r="F9">
        <v>0.60400252338831995</v>
      </c>
      <c r="G9">
        <v>0.68181818181818199</v>
      </c>
      <c r="H9">
        <v>0.74348682455487103</v>
      </c>
      <c r="I9" s="2">
        <f t="shared" si="1"/>
        <v>0.64215834289902674</v>
      </c>
      <c r="J9" s="2">
        <f t="shared" si="2"/>
        <v>0</v>
      </c>
      <c r="K9" s="2">
        <f t="shared" si="3"/>
        <v>-0.74348682455487103</v>
      </c>
      <c r="M9" s="3"/>
      <c r="N9">
        <v>-1.0672104304764746E-3</v>
      </c>
      <c r="O9">
        <v>-1.0114778822263593</v>
      </c>
      <c r="R9" s="2"/>
      <c r="S9" s="2"/>
    </row>
    <row r="10" spans="1:19" x14ac:dyDescent="0.3">
      <c r="A10">
        <v>0.319090064269206</v>
      </c>
      <c r="B10">
        <v>0.24444444444444399</v>
      </c>
      <c r="C10">
        <v>0.533737854237334</v>
      </c>
      <c r="D10">
        <v>0.74996283633120298</v>
      </c>
      <c r="E10">
        <v>0.21622498209386901</v>
      </c>
      <c r="F10">
        <v>0.60813276213900602</v>
      </c>
      <c r="G10">
        <v>0.68181818181818199</v>
      </c>
      <c r="H10">
        <v>0.72151415466245805</v>
      </c>
      <c r="I10" s="2">
        <f t="shared" si="1"/>
        <v>0.6405135876650756</v>
      </c>
      <c r="J10" s="2">
        <f t="shared" si="2"/>
        <v>0</v>
      </c>
      <c r="K10" s="2">
        <f t="shared" si="3"/>
        <v>-0.72151415466245805</v>
      </c>
      <c r="M10" s="3"/>
      <c r="N10">
        <v>3.6227064104500037E-2</v>
      </c>
      <c r="O10">
        <v>2.1040627464007451</v>
      </c>
      <c r="R10" s="2"/>
      <c r="S10" s="2"/>
    </row>
    <row r="11" spans="1:19" x14ac:dyDescent="0.3">
      <c r="A11">
        <v>0.319090064269206</v>
      </c>
      <c r="B11">
        <v>0.24444444444444399</v>
      </c>
      <c r="C11">
        <v>0.52661404304114801</v>
      </c>
      <c r="D11">
        <v>0.73995306541507799</v>
      </c>
      <c r="E11">
        <v>0.21333902237392999</v>
      </c>
      <c r="F11">
        <v>0.60001600042667802</v>
      </c>
      <c r="G11">
        <v>0.68181818181818199</v>
      </c>
      <c r="H11">
        <v>0.80287667156130005</v>
      </c>
      <c r="I11" s="2">
        <f t="shared" si="1"/>
        <v>0.64283384781928921</v>
      </c>
      <c r="J11" s="2">
        <f t="shared" si="2"/>
        <v>0</v>
      </c>
      <c r="K11" s="2">
        <f t="shared" si="3"/>
        <v>-0.80287667156130005</v>
      </c>
      <c r="N11">
        <v>1.8211802729564323E-3</v>
      </c>
      <c r="O11">
        <v>0.71304986939834591</v>
      </c>
      <c r="R11" s="2"/>
      <c r="S11" s="2"/>
    </row>
    <row r="12" spans="1:19" x14ac:dyDescent="0.3">
      <c r="A12">
        <v>0.30376590132493603</v>
      </c>
      <c r="B12">
        <v>0.46666666666666701</v>
      </c>
      <c r="C12">
        <v>5.3551296505073301E-2</v>
      </c>
      <c r="D12">
        <v>0.335400225479143</v>
      </c>
      <c r="E12">
        <v>0.28184892897406999</v>
      </c>
      <c r="F12">
        <v>0.60396199065872103</v>
      </c>
      <c r="G12">
        <v>0.59523809523809501</v>
      </c>
      <c r="H12">
        <v>0.70007159964167098</v>
      </c>
      <c r="I12" s="2">
        <f t="shared" si="1"/>
        <v>0.70919197102861542</v>
      </c>
      <c r="J12" s="2">
        <f t="shared" si="2"/>
        <v>0</v>
      </c>
      <c r="K12" s="2">
        <f t="shared" si="3"/>
        <v>-0.70007159964167098</v>
      </c>
      <c r="N12">
        <v>-0.1580376229587093</v>
      </c>
      <c r="O12">
        <v>3.8404170094799885E-3</v>
      </c>
      <c r="R12" s="2"/>
      <c r="S12" s="2"/>
    </row>
    <row r="13" spans="1:19" x14ac:dyDescent="0.3">
      <c r="A13">
        <v>0.30376590132493603</v>
      </c>
      <c r="B13">
        <v>0.46666666666666701</v>
      </c>
      <c r="C13">
        <v>0.10598052851182201</v>
      </c>
      <c r="D13">
        <v>0.38414464534075099</v>
      </c>
      <c r="E13">
        <v>0.278164116828929</v>
      </c>
      <c r="F13">
        <v>0.59606596463341899</v>
      </c>
      <c r="G13">
        <v>0.59523809523809501</v>
      </c>
      <c r="H13">
        <v>0.70764913876013102</v>
      </c>
      <c r="I13" s="2">
        <f t="shared" si="1"/>
        <v>0.71280397109267601</v>
      </c>
      <c r="J13" s="2">
        <f t="shared" si="2"/>
        <v>0</v>
      </c>
      <c r="K13" s="2">
        <f t="shared" si="3"/>
        <v>-0.70764913876013102</v>
      </c>
      <c r="M13" s="3"/>
      <c r="N13">
        <v>0.87209854831207967</v>
      </c>
      <c r="O13">
        <v>-0.48964333783357727</v>
      </c>
      <c r="R13" s="2"/>
      <c r="S13" s="2"/>
    </row>
    <row r="14" spans="1:19" x14ac:dyDescent="0.3">
      <c r="A14">
        <v>0.30376590132493603</v>
      </c>
      <c r="B14">
        <v>0.46666666666666701</v>
      </c>
      <c r="C14">
        <v>0.57607788595271203</v>
      </c>
      <c r="D14">
        <v>0.85424200278164097</v>
      </c>
      <c r="E14">
        <v>0.278164116828929</v>
      </c>
      <c r="F14">
        <v>0.59606596463341899</v>
      </c>
      <c r="G14">
        <v>0.59523809523809501</v>
      </c>
      <c r="H14">
        <v>0.61402757856855505</v>
      </c>
      <c r="I14" s="2">
        <f t="shared" si="1"/>
        <v>0.70928210573354544</v>
      </c>
      <c r="J14" s="2">
        <f t="shared" si="2"/>
        <v>0</v>
      </c>
      <c r="K14" s="2">
        <f t="shared" si="3"/>
        <v>-0.61402757856855505</v>
      </c>
      <c r="N14">
        <v>0.13185910978175022</v>
      </c>
      <c r="O14">
        <v>0.47707407311364236</v>
      </c>
    </row>
    <row r="15" spans="1:19" x14ac:dyDescent="0.3">
      <c r="A15">
        <v>0.30376590132493603</v>
      </c>
      <c r="B15">
        <v>0.46666666666666701</v>
      </c>
      <c r="C15">
        <v>0.45758989843535502</v>
      </c>
      <c r="D15">
        <v>0.73208893768871797</v>
      </c>
      <c r="E15">
        <v>0.274499039253363</v>
      </c>
      <c r="F15">
        <v>0.588212226971491</v>
      </c>
      <c r="G15">
        <v>0.59523809523809501</v>
      </c>
      <c r="H15">
        <v>0.61455818356296898</v>
      </c>
      <c r="I15" s="2">
        <f t="shared" si="1"/>
        <v>0.71362869630834713</v>
      </c>
      <c r="J15" s="2">
        <f t="shared" si="2"/>
        <v>0</v>
      </c>
      <c r="K15" s="2">
        <f t="shared" si="3"/>
        <v>-0.61455818356296898</v>
      </c>
      <c r="M15" s="3"/>
      <c r="N15">
        <v>1.5352416721851262E-2</v>
      </c>
      <c r="O15">
        <v>0.54548630395687292</v>
      </c>
    </row>
    <row r="16" spans="1:19" x14ac:dyDescent="0.3">
      <c r="A16">
        <v>0.30376590132493603</v>
      </c>
      <c r="B16">
        <v>0.46666666666666701</v>
      </c>
      <c r="C16">
        <v>0.520022402688323</v>
      </c>
      <c r="D16">
        <v>0.80005600672080701</v>
      </c>
      <c r="E16">
        <v>0.28003360403248401</v>
      </c>
      <c r="F16">
        <v>0.60007200864103705</v>
      </c>
      <c r="G16">
        <v>0.59523809523809501</v>
      </c>
      <c r="H16">
        <v>0.50086695792122804</v>
      </c>
      <c r="I16" s="2">
        <f t="shared" si="1"/>
        <v>0.70920445942998922</v>
      </c>
      <c r="J16" s="2">
        <f t="shared" si="2"/>
        <v>0</v>
      </c>
      <c r="K16" s="2">
        <f t="shared" si="3"/>
        <v>-0.50086695792122804</v>
      </c>
      <c r="N16">
        <v>7.6267206561195539E-2</v>
      </c>
      <c r="O16">
        <v>0.9043498597352696</v>
      </c>
    </row>
    <row r="17" spans="1:15" x14ac:dyDescent="0.3">
      <c r="A17">
        <v>0.30376590132493603</v>
      </c>
      <c r="B17">
        <v>0.46666666666666701</v>
      </c>
      <c r="C17">
        <v>0.62826333711691296</v>
      </c>
      <c r="D17">
        <v>0.91203178206583402</v>
      </c>
      <c r="E17">
        <v>0.28376844494892201</v>
      </c>
      <c r="F17">
        <v>0.60807523917626105</v>
      </c>
      <c r="G17">
        <v>0.59523809523809501</v>
      </c>
      <c r="H17">
        <v>0.43778641949873698</v>
      </c>
      <c r="I17" s="2">
        <f t="shared" si="1"/>
        <v>0.70424783987166961</v>
      </c>
      <c r="J17" s="2">
        <f t="shared" si="2"/>
        <v>0</v>
      </c>
      <c r="K17" s="2">
        <f t="shared" si="3"/>
        <v>-0.43778641949873698</v>
      </c>
      <c r="N17">
        <v>1.2453890024071199E-2</v>
      </c>
      <c r="O17">
        <v>6.2787392923298224</v>
      </c>
    </row>
    <row r="18" spans="1:15" x14ac:dyDescent="0.3">
      <c r="A18">
        <v>0.33339095296243298</v>
      </c>
      <c r="B18">
        <v>0.17777777777777801</v>
      </c>
      <c r="C18">
        <v>0.128571428571429</v>
      </c>
      <c r="D18">
        <v>0.36428571428571399</v>
      </c>
      <c r="E18">
        <v>0.23571428571428599</v>
      </c>
      <c r="F18">
        <v>0.64285714285714302</v>
      </c>
      <c r="G18">
        <v>0.75</v>
      </c>
      <c r="H18">
        <v>0.50655306131802003</v>
      </c>
      <c r="I18" s="2">
        <f t="shared" si="1"/>
        <v>0.581797116695012</v>
      </c>
      <c r="J18" s="2">
        <f t="shared" si="2"/>
        <v>0</v>
      </c>
      <c r="K18" s="2">
        <f t="shared" si="3"/>
        <v>-0.50655306131802003</v>
      </c>
      <c r="N18">
        <v>0.98041039535322583</v>
      </c>
      <c r="O18">
        <v>0.57562836311049737</v>
      </c>
    </row>
    <row r="19" spans="1:15" x14ac:dyDescent="0.3">
      <c r="A19">
        <v>0.33339095296243298</v>
      </c>
      <c r="B19">
        <v>0.17777777777777801</v>
      </c>
      <c r="C19">
        <v>0.192857142857143</v>
      </c>
      <c r="D19">
        <v>0.42857142857142799</v>
      </c>
      <c r="E19">
        <v>0.23571428571428599</v>
      </c>
      <c r="F19">
        <v>0.64285714285714302</v>
      </c>
      <c r="G19">
        <v>0.75</v>
      </c>
      <c r="H19">
        <v>0.50431082311596498</v>
      </c>
      <c r="I19" s="2">
        <f t="shared" si="1"/>
        <v>0.58521266548508233</v>
      </c>
      <c r="J19" s="2">
        <f t="shared" si="2"/>
        <v>0</v>
      </c>
      <c r="K19" s="2">
        <f t="shared" si="3"/>
        <v>-0.50431082311596498</v>
      </c>
      <c r="N19">
        <v>0.77729261452411669</v>
      </c>
      <c r="O19">
        <v>4.3105757101471358</v>
      </c>
    </row>
    <row r="20" spans="1:15" x14ac:dyDescent="0.3">
      <c r="A20">
        <v>0.33339095296243298</v>
      </c>
      <c r="B20">
        <v>0.17777777777777801</v>
      </c>
      <c r="C20">
        <v>0.42142857142857099</v>
      </c>
      <c r="D20">
        <v>0.65714285714285703</v>
      </c>
      <c r="E20">
        <v>0.23571428571428599</v>
      </c>
      <c r="F20">
        <v>0.64285714285714302</v>
      </c>
      <c r="G20">
        <v>0.75</v>
      </c>
      <c r="H20">
        <v>0.54446914578801098</v>
      </c>
      <c r="I20" s="2">
        <f t="shared" si="1"/>
        <v>0.59311813159897397</v>
      </c>
      <c r="J20" s="2">
        <f t="shared" si="2"/>
        <v>0</v>
      </c>
      <c r="K20" s="2">
        <f t="shared" si="3"/>
        <v>-0.54446914578801098</v>
      </c>
      <c r="N20">
        <v>0.98460622889229787</v>
      </c>
      <c r="O20">
        <v>0.80783345317065436</v>
      </c>
    </row>
    <row r="21" spans="1:15" x14ac:dyDescent="0.3">
      <c r="A21">
        <v>0.485065502686992</v>
      </c>
      <c r="B21">
        <v>0.17777777777777801</v>
      </c>
      <c r="C21">
        <v>0.59574468085106402</v>
      </c>
      <c r="D21">
        <v>0.82978723404255295</v>
      </c>
      <c r="E21">
        <v>0.23404255319148901</v>
      </c>
      <c r="F21">
        <v>0.63829787234042601</v>
      </c>
      <c r="G21">
        <v>0.75</v>
      </c>
      <c r="H21">
        <v>0.66920121588669601</v>
      </c>
      <c r="I21" s="2">
        <f t="shared" si="1"/>
        <v>0.72308705563674458</v>
      </c>
      <c r="J21" s="2">
        <f t="shared" si="2"/>
        <v>0</v>
      </c>
      <c r="K21" s="2">
        <f t="shared" si="3"/>
        <v>-0.66920121588669601</v>
      </c>
    </row>
    <row r="22" spans="1:15" x14ac:dyDescent="0.3">
      <c r="A22">
        <v>0.485065502686992</v>
      </c>
      <c r="B22">
        <v>0.17777777777777801</v>
      </c>
      <c r="C22">
        <v>0.442857142857143</v>
      </c>
      <c r="D22">
        <v>0.67857142857142805</v>
      </c>
      <c r="E22">
        <v>0.23571428571428599</v>
      </c>
      <c r="F22">
        <v>0.64285714285714302</v>
      </c>
      <c r="G22">
        <v>0.75</v>
      </c>
      <c r="H22">
        <v>0.81546208106100404</v>
      </c>
      <c r="I22" s="2">
        <f t="shared" si="1"/>
        <v>0.71831389861009054</v>
      </c>
      <c r="J22" s="2">
        <f t="shared" si="2"/>
        <v>0</v>
      </c>
      <c r="K22" s="2">
        <f t="shared" si="3"/>
        <v>-0.81546208106100404</v>
      </c>
      <c r="M22" t="s">
        <v>20</v>
      </c>
    </row>
    <row r="23" spans="1:15" x14ac:dyDescent="0.3">
      <c r="A23">
        <v>0.485065502686992</v>
      </c>
      <c r="B23">
        <v>0.17777777777777801</v>
      </c>
      <c r="C23">
        <v>0.21126760563380301</v>
      </c>
      <c r="D23">
        <v>0.44366197183098599</v>
      </c>
      <c r="E23">
        <v>0.23239436619718301</v>
      </c>
      <c r="F23">
        <v>0.63380281690140805</v>
      </c>
      <c r="G23">
        <v>0.75</v>
      </c>
      <c r="H23">
        <v>0.47332869419266199</v>
      </c>
      <c r="I23" s="2">
        <f t="shared" si="1"/>
        <v>0.71438499106303999</v>
      </c>
      <c r="J23" s="2">
        <f t="shared" si="2"/>
        <v>0</v>
      </c>
      <c r="K23" s="2">
        <f t="shared" si="3"/>
        <v>-0.47332869419266199</v>
      </c>
    </row>
    <row r="24" spans="1:15" x14ac:dyDescent="0.3">
      <c r="A24">
        <v>0.33472366352331001</v>
      </c>
      <c r="B24">
        <v>0.17777777777777801</v>
      </c>
      <c r="C24">
        <v>0.36428571428571399</v>
      </c>
      <c r="D24">
        <v>0.52857142857142803</v>
      </c>
      <c r="E24">
        <v>0.16428571428571401</v>
      </c>
      <c r="F24">
        <v>0.64285714285714302</v>
      </c>
      <c r="G24">
        <v>0.9375</v>
      </c>
      <c r="H24">
        <v>0.56273541851575104</v>
      </c>
      <c r="I24" s="2">
        <f t="shared" si="1"/>
        <v>0.59009672609664476</v>
      </c>
      <c r="J24" s="2">
        <f t="shared" si="2"/>
        <v>0</v>
      </c>
      <c r="K24" s="2">
        <f t="shared" si="3"/>
        <v>-0.56273541851575104</v>
      </c>
    </row>
    <row r="25" spans="1:15" x14ac:dyDescent="0.3">
      <c r="A25">
        <v>0.33472366352331001</v>
      </c>
      <c r="B25">
        <v>0.17777777777777801</v>
      </c>
      <c r="C25">
        <v>0.107142857142857</v>
      </c>
      <c r="D25">
        <v>0.27142857142857102</v>
      </c>
      <c r="E25">
        <v>0.16428571428571401</v>
      </c>
      <c r="F25">
        <v>0.64285714285714302</v>
      </c>
      <c r="G25">
        <v>0.9375</v>
      </c>
      <c r="H25">
        <v>0.43073276138702399</v>
      </c>
      <c r="I25" s="2">
        <f t="shared" si="1"/>
        <v>0.57596620852474012</v>
      </c>
      <c r="J25" s="2">
        <f t="shared" si="2"/>
        <v>0</v>
      </c>
      <c r="K25" s="2">
        <f t="shared" si="3"/>
        <v>-0.43073276138702399</v>
      </c>
    </row>
    <row r="26" spans="1:15" x14ac:dyDescent="0.3">
      <c r="A26">
        <v>0.48699700163245901</v>
      </c>
      <c r="B26">
        <v>0.17777777777777801</v>
      </c>
      <c r="C26">
        <v>0.30935251798561197</v>
      </c>
      <c r="D26">
        <v>0.47482014388489202</v>
      </c>
      <c r="E26">
        <v>0.16546762589928099</v>
      </c>
      <c r="F26">
        <v>0.64748201438848896</v>
      </c>
      <c r="G26">
        <v>0.9375</v>
      </c>
      <c r="H26">
        <v>0.69815340755890098</v>
      </c>
      <c r="I26" s="2">
        <f t="shared" si="1"/>
        <v>0.71164943615998377</v>
      </c>
      <c r="J26" s="2">
        <f t="shared" si="2"/>
        <v>0</v>
      </c>
      <c r="K26" s="2">
        <f t="shared" si="3"/>
        <v>-0.69815340755890098</v>
      </c>
    </row>
    <row r="27" spans="1:15" x14ac:dyDescent="0.3">
      <c r="A27">
        <v>0.48302343172405598</v>
      </c>
      <c r="B27">
        <v>0.17777777777777801</v>
      </c>
      <c r="C27">
        <v>0.388489208633093</v>
      </c>
      <c r="D27">
        <v>0.62589928057553901</v>
      </c>
      <c r="E27">
        <v>0.23741007194244601</v>
      </c>
      <c r="F27">
        <v>0.64748201438848896</v>
      </c>
      <c r="G27">
        <v>0.75</v>
      </c>
      <c r="H27">
        <v>0.71042002868104304</v>
      </c>
      <c r="I27" s="2">
        <f t="shared" si="1"/>
        <v>0.71309977919625056</v>
      </c>
      <c r="J27" s="2">
        <f t="shared" si="2"/>
        <v>0</v>
      </c>
      <c r="K27" s="2">
        <f t="shared" si="3"/>
        <v>-0.71042002868104304</v>
      </c>
    </row>
    <row r="28" spans="1:15" x14ac:dyDescent="0.3">
      <c r="A28">
        <v>0.48302343172405598</v>
      </c>
      <c r="B28">
        <v>0.17777777777777801</v>
      </c>
      <c r="C28">
        <v>0.24285714285714299</v>
      </c>
      <c r="D28">
        <v>0.47857142857142898</v>
      </c>
      <c r="E28">
        <v>0.23571428571428599</v>
      </c>
      <c r="F28">
        <v>0.64285714285714302</v>
      </c>
      <c r="G28">
        <v>0.75</v>
      </c>
      <c r="H28">
        <v>0.87817174118255503</v>
      </c>
      <c r="I28" s="2">
        <f t="shared" si="1"/>
        <v>0.71015071387068918</v>
      </c>
      <c r="J28" s="2">
        <f t="shared" si="2"/>
        <v>0</v>
      </c>
      <c r="K28" s="2">
        <f t="shared" si="3"/>
        <v>-0.87817174118255503</v>
      </c>
    </row>
    <row r="29" spans="1:15" x14ac:dyDescent="0.3">
      <c r="A29">
        <v>0.33943859102284801</v>
      </c>
      <c r="B29">
        <v>0.17777777777777801</v>
      </c>
      <c r="C29">
        <v>0.4</v>
      </c>
      <c r="D29">
        <v>0.63571428571428601</v>
      </c>
      <c r="E29">
        <v>0.23571428571428599</v>
      </c>
      <c r="F29">
        <v>0.64285714285714302</v>
      </c>
      <c r="G29">
        <v>0.75</v>
      </c>
      <c r="H29">
        <v>0.79865239062231097</v>
      </c>
      <c r="I29" s="2">
        <f t="shared" si="1"/>
        <v>0.59684739950224674</v>
      </c>
      <c r="J29" s="2">
        <f t="shared" si="2"/>
        <v>0</v>
      </c>
      <c r="K29" s="2">
        <f t="shared" si="3"/>
        <v>-0.79865239062231097</v>
      </c>
    </row>
    <row r="30" spans="1:15" x14ac:dyDescent="0.3">
      <c r="A30">
        <v>0.33943859102284801</v>
      </c>
      <c r="B30">
        <v>0.17777777777777801</v>
      </c>
      <c r="C30">
        <v>0.21678321678321699</v>
      </c>
      <c r="D30">
        <v>0.447552447552448</v>
      </c>
      <c r="E30">
        <v>0.230769230769231</v>
      </c>
      <c r="F30">
        <v>0.62937062937062904</v>
      </c>
      <c r="G30">
        <v>0.75</v>
      </c>
      <c r="H30">
        <v>0.53712722768343002</v>
      </c>
      <c r="I30" s="2">
        <f t="shared" si="1"/>
        <v>0.59594186934770743</v>
      </c>
      <c r="J30" s="2">
        <f t="shared" si="2"/>
        <v>0</v>
      </c>
      <c r="K30" s="2">
        <f t="shared" si="3"/>
        <v>-0.53712722768343002</v>
      </c>
    </row>
    <row r="31" spans="1:15" x14ac:dyDescent="0.3">
      <c r="A31">
        <v>0.34186098845408902</v>
      </c>
      <c r="B31">
        <v>0.17777777777777801</v>
      </c>
      <c r="C31">
        <v>0.37410071942445999</v>
      </c>
      <c r="D31">
        <v>0.53956834532374098</v>
      </c>
      <c r="E31">
        <v>0.16546762589928099</v>
      </c>
      <c r="F31">
        <v>0.64748201438848896</v>
      </c>
      <c r="G31">
        <v>0.9375</v>
      </c>
      <c r="H31">
        <v>0.61783252726680804</v>
      </c>
      <c r="I31" s="2">
        <f t="shared" si="1"/>
        <v>0.59357464866742715</v>
      </c>
      <c r="J31" s="2">
        <f t="shared" si="2"/>
        <v>0</v>
      </c>
      <c r="K31" s="2">
        <f t="shared" si="3"/>
        <v>-0.61783252726680804</v>
      </c>
    </row>
    <row r="32" spans="1:15" x14ac:dyDescent="0.3">
      <c r="A32">
        <v>0.34186098845408902</v>
      </c>
      <c r="B32">
        <v>0.17777777777777801</v>
      </c>
      <c r="C32">
        <v>0.214285714285714</v>
      </c>
      <c r="D32">
        <v>0.378571428571429</v>
      </c>
      <c r="E32">
        <v>0.16428571428571401</v>
      </c>
      <c r="F32">
        <v>0.64285714285714302</v>
      </c>
      <c r="G32">
        <v>0.9375</v>
      </c>
      <c r="H32">
        <v>0.588007042570177</v>
      </c>
      <c r="I32" s="2">
        <f t="shared" si="1"/>
        <v>0.5884696026654368</v>
      </c>
      <c r="J32" s="2">
        <f t="shared" si="2"/>
        <v>0</v>
      </c>
      <c r="K32" s="2">
        <f t="shared" si="3"/>
        <v>-0.588007042570177</v>
      </c>
    </row>
    <row r="33" spans="1:11" x14ac:dyDescent="0.3">
      <c r="A33">
        <v>0.34186098845408902</v>
      </c>
      <c r="B33">
        <v>0.17777777777777801</v>
      </c>
      <c r="C33">
        <v>0.54285714285714304</v>
      </c>
      <c r="D33">
        <v>0.70714285714285696</v>
      </c>
      <c r="E33">
        <v>0.16428571428571401</v>
      </c>
      <c r="F33">
        <v>0.64285714285714302</v>
      </c>
      <c r="G33">
        <v>0.9375</v>
      </c>
      <c r="H33">
        <v>0.60698218585200303</v>
      </c>
      <c r="I33" s="2">
        <f t="shared" si="1"/>
        <v>0.60013114770517184</v>
      </c>
      <c r="J33" s="2">
        <f t="shared" si="2"/>
        <v>0</v>
      </c>
      <c r="K33" s="2">
        <f t="shared" si="3"/>
        <v>-0.60698218585200303</v>
      </c>
    </row>
    <row r="34" spans="1:11" x14ac:dyDescent="0.3">
      <c r="A34">
        <v>0.48626604750336599</v>
      </c>
      <c r="B34">
        <v>0.17777777777777801</v>
      </c>
      <c r="C34">
        <v>0.23571428571428599</v>
      </c>
      <c r="D34">
        <v>0.4</v>
      </c>
      <c r="E34">
        <v>0.16428571428571401</v>
      </c>
      <c r="F34">
        <v>0.64285714285714302</v>
      </c>
      <c r="G34">
        <v>0.9375</v>
      </c>
      <c r="H34">
        <v>0.63223151195482596</v>
      </c>
      <c r="I34" s="2">
        <f t="shared" si="1"/>
        <v>0.7094584102706526</v>
      </c>
      <c r="J34" s="2">
        <f t="shared" si="2"/>
        <v>0</v>
      </c>
      <c r="K34" s="2">
        <f t="shared" si="3"/>
        <v>-0.63223151195482596</v>
      </c>
    </row>
    <row r="35" spans="1:11" x14ac:dyDescent="0.3">
      <c r="A35">
        <v>0.48626604750336599</v>
      </c>
      <c r="B35">
        <v>0.17777777777777801</v>
      </c>
      <c r="C35">
        <v>7.0921985815602898E-2</v>
      </c>
      <c r="D35">
        <v>0.23404255319148901</v>
      </c>
      <c r="E35">
        <v>0.16312056737588701</v>
      </c>
      <c r="F35">
        <v>0.63829787234042601</v>
      </c>
      <c r="G35">
        <v>0.9375</v>
      </c>
      <c r="H35">
        <v>0.64165592835334395</v>
      </c>
      <c r="I35" s="2">
        <f t="shared" si="1"/>
        <v>0.69939326299437621</v>
      </c>
      <c r="J35" s="2">
        <f t="shared" si="2"/>
        <v>0</v>
      </c>
      <c r="K35" s="2">
        <f t="shared" si="3"/>
        <v>-0.64165592835334395</v>
      </c>
    </row>
    <row r="36" spans="1:11" x14ac:dyDescent="0.3">
      <c r="A36">
        <v>0.31078053142483802</v>
      </c>
      <c r="B36">
        <v>0.33108108108108097</v>
      </c>
      <c r="C36">
        <v>0.42</v>
      </c>
      <c r="D36">
        <v>0.92</v>
      </c>
      <c r="E36">
        <v>0.5</v>
      </c>
      <c r="F36">
        <v>1.48</v>
      </c>
      <c r="G36">
        <v>1.03061224489796</v>
      </c>
      <c r="H36">
        <v>0.72719960267380601</v>
      </c>
      <c r="I36" s="2">
        <f t="shared" si="1"/>
        <v>0.93100074431774749</v>
      </c>
      <c r="J36" s="2">
        <f t="shared" si="2"/>
        <v>0</v>
      </c>
      <c r="K36" s="2">
        <f t="shared" si="3"/>
        <v>-0.72719960267380601</v>
      </c>
    </row>
    <row r="37" spans="1:11" x14ac:dyDescent="0.3">
      <c r="A37">
        <v>0.31078053142483802</v>
      </c>
      <c r="B37">
        <v>0.33108108108108097</v>
      </c>
      <c r="C37">
        <v>0.08</v>
      </c>
      <c r="D37">
        <v>0.57999999999999996</v>
      </c>
      <c r="E37">
        <v>0.5</v>
      </c>
      <c r="F37">
        <v>1.48</v>
      </c>
      <c r="G37">
        <v>1.03061224489796</v>
      </c>
      <c r="H37">
        <v>1.04469510473654</v>
      </c>
      <c r="I37" s="2">
        <f t="shared" si="1"/>
        <v>0.91723904817777901</v>
      </c>
      <c r="J37" s="2">
        <f t="shared" si="2"/>
        <v>0</v>
      </c>
      <c r="K37" s="2">
        <f t="shared" si="3"/>
        <v>-1.04469510473654</v>
      </c>
    </row>
    <row r="38" spans="1:11" x14ac:dyDescent="0.3">
      <c r="A38">
        <v>0.31078053142483802</v>
      </c>
      <c r="B38">
        <v>0.33108108108108097</v>
      </c>
      <c r="C38">
        <v>0.88</v>
      </c>
      <c r="D38">
        <v>0.89</v>
      </c>
      <c r="E38">
        <v>0.01</v>
      </c>
      <c r="F38">
        <v>1.48</v>
      </c>
      <c r="G38">
        <v>1.03061224489796</v>
      </c>
      <c r="H38">
        <v>1.00195109049916</v>
      </c>
      <c r="I38" s="2">
        <f t="shared" si="1"/>
        <v>0.93015369765070943</v>
      </c>
      <c r="J38" s="2">
        <f t="shared" si="2"/>
        <v>0</v>
      </c>
      <c r="K38" s="2">
        <f t="shared" si="3"/>
        <v>-1.00195109049916</v>
      </c>
    </row>
    <row r="39" spans="1:11" x14ac:dyDescent="0.3">
      <c r="A39">
        <v>0.31078053142483802</v>
      </c>
      <c r="B39">
        <v>0.33108108108108097</v>
      </c>
      <c r="C39">
        <v>0.59</v>
      </c>
      <c r="D39">
        <v>0.6</v>
      </c>
      <c r="E39">
        <v>0.01</v>
      </c>
      <c r="F39">
        <v>1.48</v>
      </c>
      <c r="G39">
        <v>1.03061224489796</v>
      </c>
      <c r="H39">
        <v>0.94050626435955198</v>
      </c>
      <c r="I39" s="2">
        <f t="shared" si="1"/>
        <v>0.91834943145825243</v>
      </c>
      <c r="J39" s="2">
        <f t="shared" si="2"/>
        <v>0</v>
      </c>
      <c r="K39" s="2">
        <f t="shared" si="3"/>
        <v>-0.94050626435955198</v>
      </c>
    </row>
    <row r="40" spans="1:11" x14ac:dyDescent="0.3">
      <c r="A40">
        <v>0.31078053142483802</v>
      </c>
      <c r="B40">
        <v>0.33108108108108097</v>
      </c>
      <c r="C40">
        <v>0.23</v>
      </c>
      <c r="D40">
        <v>0.24</v>
      </c>
      <c r="E40">
        <v>0.01</v>
      </c>
      <c r="F40">
        <v>1.48</v>
      </c>
      <c r="G40">
        <v>1.03061224489796</v>
      </c>
      <c r="H40">
        <v>0.77631983410378402</v>
      </c>
      <c r="I40" s="2">
        <f t="shared" si="1"/>
        <v>0.87596391272885255</v>
      </c>
      <c r="J40" s="2">
        <f t="shared" si="2"/>
        <v>0</v>
      </c>
      <c r="K40" s="2">
        <f t="shared" si="3"/>
        <v>-0.77631983410378402</v>
      </c>
    </row>
    <row r="41" spans="1:11" x14ac:dyDescent="0.3">
      <c r="A41">
        <v>0.31078053142483802</v>
      </c>
      <c r="B41">
        <v>0.33108108108108097</v>
      </c>
      <c r="C41">
        <v>0</v>
      </c>
      <c r="D41">
        <v>0.01</v>
      </c>
      <c r="E41">
        <v>0.01</v>
      </c>
      <c r="F41">
        <v>1.48</v>
      </c>
      <c r="G41">
        <v>1.03061224489796</v>
      </c>
      <c r="H41">
        <v>0.69415607504849797</v>
      </c>
      <c r="I41" s="2">
        <f t="shared" si="1"/>
        <v>0.68043324617323697</v>
      </c>
      <c r="J41" s="2">
        <f t="shared" si="2"/>
        <v>0</v>
      </c>
      <c r="K41" s="2">
        <f t="shared" si="3"/>
        <v>-0.69415607504849797</v>
      </c>
    </row>
    <row r="42" spans="1:11" x14ac:dyDescent="0.3">
      <c r="A42">
        <v>0.31078053142483802</v>
      </c>
      <c r="B42">
        <v>0.33108108108108097</v>
      </c>
      <c r="C42">
        <v>0.35</v>
      </c>
      <c r="D42">
        <v>0.36</v>
      </c>
      <c r="E42">
        <v>0.01</v>
      </c>
      <c r="F42">
        <v>1.48</v>
      </c>
      <c r="G42">
        <v>1.03061224489796</v>
      </c>
      <c r="H42">
        <v>0.87149449870643203</v>
      </c>
      <c r="I42" s="2">
        <f t="shared" si="1"/>
        <v>0.89659194754354077</v>
      </c>
      <c r="J42" s="2">
        <f t="shared" si="2"/>
        <v>0</v>
      </c>
      <c r="K42" s="2">
        <f t="shared" si="3"/>
        <v>-0.87149449870643203</v>
      </c>
    </row>
    <row r="43" spans="1:11" x14ac:dyDescent="0.3">
      <c r="A43">
        <v>0.49041819659053498</v>
      </c>
      <c r="B43">
        <v>0.8</v>
      </c>
      <c r="C43">
        <v>0.22500000000000001</v>
      </c>
      <c r="D43">
        <v>0.35</v>
      </c>
      <c r="E43">
        <v>0.125</v>
      </c>
      <c r="F43">
        <v>0.83333333333333304</v>
      </c>
      <c r="G43">
        <v>0.125</v>
      </c>
      <c r="H43">
        <v>0.63429995470640599</v>
      </c>
      <c r="I43" s="2">
        <f t="shared" si="1"/>
        <v>0.636673183627951</v>
      </c>
      <c r="J43" s="2">
        <f t="shared" si="2"/>
        <v>0</v>
      </c>
      <c r="K43" s="2">
        <f t="shared" si="3"/>
        <v>-0.63429995470640599</v>
      </c>
    </row>
    <row r="44" spans="1:11" x14ac:dyDescent="0.3">
      <c r="A44">
        <v>0.50722133043161599</v>
      </c>
      <c r="B44">
        <v>0.73333333333333295</v>
      </c>
      <c r="C44">
        <v>0.3</v>
      </c>
      <c r="D44">
        <v>0.42499999999999999</v>
      </c>
      <c r="E44">
        <v>0.125</v>
      </c>
      <c r="F44">
        <v>0.625</v>
      </c>
      <c r="G44">
        <v>0.18181818181818199</v>
      </c>
      <c r="H44">
        <v>0.617034157334441</v>
      </c>
      <c r="I44" s="2">
        <f t="shared" si="1"/>
        <v>0.72458579667059075</v>
      </c>
      <c r="J44" s="2">
        <f t="shared" si="2"/>
        <v>0</v>
      </c>
      <c r="K44" s="2">
        <f t="shared" si="3"/>
        <v>-0.617034157334441</v>
      </c>
    </row>
    <row r="45" spans="1:11" x14ac:dyDescent="0.3">
      <c r="A45">
        <v>0.50722133043161599</v>
      </c>
      <c r="B45">
        <v>0.73333333333333295</v>
      </c>
      <c r="C45">
        <v>0.54583333333333295</v>
      </c>
      <c r="D45">
        <v>0.67083333333333295</v>
      </c>
      <c r="E45">
        <v>0.125</v>
      </c>
      <c r="F45">
        <v>0.625</v>
      </c>
      <c r="G45">
        <v>0.18181818181818199</v>
      </c>
      <c r="H45">
        <v>0.640259127532672</v>
      </c>
      <c r="I45" s="2">
        <f t="shared" si="1"/>
        <v>0.56427251400268652</v>
      </c>
      <c r="J45" s="2">
        <f t="shared" si="2"/>
        <v>0</v>
      </c>
      <c r="K45" s="2">
        <f t="shared" si="3"/>
        <v>-0.640259127532672</v>
      </c>
    </row>
    <row r="46" spans="1:11" x14ac:dyDescent="0.3">
      <c r="A46">
        <v>0.27511404478700902</v>
      </c>
      <c r="B46">
        <v>0.37853107344632803</v>
      </c>
      <c r="C46">
        <v>0.21666666666666701</v>
      </c>
      <c r="D46">
        <v>0.67916666666666703</v>
      </c>
      <c r="E46">
        <v>0.46250000000000002</v>
      </c>
      <c r="F46">
        <v>0.73750000000000004</v>
      </c>
      <c r="G46">
        <v>1.4029850746268699</v>
      </c>
      <c r="H46">
        <v>0.821356653392883</v>
      </c>
      <c r="I46" s="2">
        <f t="shared" si="1"/>
        <v>0.60835405286858135</v>
      </c>
      <c r="J46" s="2">
        <f t="shared" si="2"/>
        <v>0</v>
      </c>
      <c r="K46" s="2">
        <f t="shared" si="3"/>
        <v>-0.821356653392883</v>
      </c>
    </row>
    <row r="47" spans="1:11" x14ac:dyDescent="0.3">
      <c r="A47">
        <v>0.27511404478700902</v>
      </c>
      <c r="B47">
        <v>0.37853107344632803</v>
      </c>
      <c r="C47">
        <v>0.329166666666667</v>
      </c>
      <c r="D47">
        <v>0.79166666666666696</v>
      </c>
      <c r="E47">
        <v>0.46250000000000002</v>
      </c>
      <c r="F47">
        <v>0.73750000000000004</v>
      </c>
      <c r="G47">
        <v>1.4029850746268699</v>
      </c>
      <c r="H47">
        <v>0.648754761820315</v>
      </c>
      <c r="I47" s="2">
        <f t="shared" si="1"/>
        <v>0.60879174239020528</v>
      </c>
      <c r="J47" s="2">
        <f t="shared" si="2"/>
        <v>0</v>
      </c>
      <c r="K47" s="2">
        <f t="shared" si="3"/>
        <v>-0.648754761820315</v>
      </c>
    </row>
    <row r="48" spans="1:11" x14ac:dyDescent="0.3">
      <c r="A48">
        <v>0.116617219019459</v>
      </c>
      <c r="B48">
        <v>0.38961038961039002</v>
      </c>
      <c r="C48">
        <v>6.25E-2</v>
      </c>
      <c r="D48">
        <v>0.20833333333333301</v>
      </c>
      <c r="E48">
        <v>0.14583333333333301</v>
      </c>
      <c r="F48">
        <v>0.32083333333333303</v>
      </c>
      <c r="G48">
        <v>0.86666666666666703</v>
      </c>
      <c r="H48">
        <v>0.69803288671546504</v>
      </c>
      <c r="I48" s="2">
        <f t="shared" si="1"/>
        <v>0.82110148052114629</v>
      </c>
      <c r="J48" s="2">
        <f t="shared" si="2"/>
        <v>0</v>
      </c>
      <c r="K48" s="2">
        <f t="shared" si="3"/>
        <v>-0.69803288671546504</v>
      </c>
    </row>
    <row r="49" spans="1:11" x14ac:dyDescent="0.3">
      <c r="A49">
        <v>0.116617219019459</v>
      </c>
      <c r="B49">
        <v>0.38961038961039002</v>
      </c>
      <c r="C49">
        <v>0.27083333333333298</v>
      </c>
      <c r="D49">
        <v>0.41666666666666702</v>
      </c>
      <c r="E49">
        <v>0.14583333333333301</v>
      </c>
      <c r="F49">
        <v>0.32083333333333303</v>
      </c>
      <c r="G49">
        <v>0.86666666666666703</v>
      </c>
      <c r="H49">
        <v>0.92559131813139395</v>
      </c>
      <c r="I49" s="2">
        <f t="shared" si="1"/>
        <v>0.82543098281524352</v>
      </c>
      <c r="J49" s="2">
        <f t="shared" si="2"/>
        <v>0</v>
      </c>
      <c r="K49" s="2">
        <f t="shared" si="3"/>
        <v>-0.92559131813139395</v>
      </c>
    </row>
    <row r="50" spans="1:11" x14ac:dyDescent="0.3">
      <c r="A50">
        <v>0.116617219019459</v>
      </c>
      <c r="B50">
        <v>0.38961038961039002</v>
      </c>
      <c r="C50">
        <v>0.47916666666666702</v>
      </c>
      <c r="D50">
        <v>0.625</v>
      </c>
      <c r="E50">
        <v>0.14583333333333301</v>
      </c>
      <c r="F50">
        <v>0.32083333333333303</v>
      </c>
      <c r="G50">
        <v>0.86666666666666703</v>
      </c>
      <c r="H50">
        <v>0.88764146904480601</v>
      </c>
      <c r="I50" s="2">
        <f t="shared" si="1"/>
        <v>0.82571553172695522</v>
      </c>
      <c r="J50" s="2">
        <f t="shared" si="2"/>
        <v>0</v>
      </c>
      <c r="K50" s="2">
        <f t="shared" si="3"/>
        <v>-0.88764146904480601</v>
      </c>
    </row>
    <row r="51" spans="1:11" x14ac:dyDescent="0.3">
      <c r="A51">
        <v>0.44939146609105401</v>
      </c>
      <c r="B51">
        <v>0.48780487804877998</v>
      </c>
      <c r="C51">
        <v>0.22500000000000001</v>
      </c>
      <c r="D51">
        <v>0.53333333333333299</v>
      </c>
      <c r="E51">
        <v>0.30833333333333302</v>
      </c>
      <c r="F51">
        <v>0.51249999999999996</v>
      </c>
      <c r="G51">
        <v>1.8333333333333299</v>
      </c>
      <c r="H51">
        <v>0.77612689784115596</v>
      </c>
      <c r="I51" s="2">
        <f t="shared" si="1"/>
        <v>0.75307754624379486</v>
      </c>
      <c r="J51" s="2">
        <f t="shared" si="2"/>
        <v>0</v>
      </c>
      <c r="K51" s="2">
        <f t="shared" si="3"/>
        <v>-0.77612689784115596</v>
      </c>
    </row>
    <row r="52" spans="1:11" x14ac:dyDescent="0.3">
      <c r="A52">
        <v>0.44939146609105401</v>
      </c>
      <c r="B52">
        <v>0.48780487804877998</v>
      </c>
      <c r="C52">
        <v>0.32500000000000001</v>
      </c>
      <c r="D52">
        <v>0.63333333333333297</v>
      </c>
      <c r="E52">
        <v>0.30833333333333302</v>
      </c>
      <c r="F52">
        <v>0.51249999999999996</v>
      </c>
      <c r="G52">
        <v>1.8333333333333299</v>
      </c>
      <c r="H52">
        <v>0.80746801464750095</v>
      </c>
      <c r="I52" s="2">
        <f t="shared" si="1"/>
        <v>0.75145129114537013</v>
      </c>
      <c r="J52" s="2">
        <f t="shared" si="2"/>
        <v>0</v>
      </c>
      <c r="K52" s="2">
        <f t="shared" si="3"/>
        <v>-0.80746801464750095</v>
      </c>
    </row>
    <row r="53" spans="1:11" x14ac:dyDescent="0.3">
      <c r="A53">
        <v>0.44939146609105401</v>
      </c>
      <c r="B53">
        <v>0.48780487804877998</v>
      </c>
      <c r="C53">
        <v>0.58333333333333304</v>
      </c>
      <c r="D53">
        <v>0.89166666666666705</v>
      </c>
      <c r="E53">
        <v>0.30833333333333302</v>
      </c>
      <c r="F53">
        <v>0.51249999999999996</v>
      </c>
      <c r="G53">
        <v>1.8333333333333299</v>
      </c>
      <c r="H53">
        <v>0.64150880837753099</v>
      </c>
      <c r="I53" s="2">
        <f t="shared" si="1"/>
        <v>0.74496382481510492</v>
      </c>
      <c r="J53" s="2">
        <f t="shared" si="2"/>
        <v>0</v>
      </c>
      <c r="K53" s="2">
        <f t="shared" si="3"/>
        <v>-0.64150880837753099</v>
      </c>
    </row>
    <row r="54" spans="1:11" x14ac:dyDescent="0.3">
      <c r="A54">
        <v>0.44558618529625499</v>
      </c>
      <c r="B54">
        <v>0.7</v>
      </c>
      <c r="C54">
        <v>0.215</v>
      </c>
      <c r="D54">
        <v>0.66500000000000004</v>
      </c>
      <c r="E54">
        <v>0.45</v>
      </c>
      <c r="F54">
        <v>1</v>
      </c>
      <c r="G54">
        <v>0.214285714285714</v>
      </c>
      <c r="H54">
        <v>0.79188470459453997</v>
      </c>
      <c r="I54" s="2">
        <f t="shared" si="1"/>
        <v>0.65933184273845979</v>
      </c>
      <c r="J54" s="2">
        <f t="shared" si="2"/>
        <v>0</v>
      </c>
      <c r="K54" s="2">
        <f t="shared" si="3"/>
        <v>-0.79188470459453997</v>
      </c>
    </row>
    <row r="55" spans="1:11" x14ac:dyDescent="0.3">
      <c r="A55">
        <v>0.44558618529625499</v>
      </c>
      <c r="B55">
        <v>0.55000000000000004</v>
      </c>
      <c r="C55">
        <v>6.5000000000000099E-2</v>
      </c>
      <c r="D55">
        <v>0.66500000000000004</v>
      </c>
      <c r="E55">
        <v>0.6</v>
      </c>
      <c r="F55">
        <v>1</v>
      </c>
      <c r="G55">
        <v>0.40909090909090901</v>
      </c>
      <c r="H55">
        <v>0.75347600697172201</v>
      </c>
      <c r="I55" s="2">
        <f t="shared" si="1"/>
        <v>0.65683030533883402</v>
      </c>
      <c r="J55" s="2">
        <f t="shared" si="2"/>
        <v>0</v>
      </c>
      <c r="K55" s="2">
        <f t="shared" si="3"/>
        <v>-0.75347600697172201</v>
      </c>
    </row>
    <row r="56" spans="1:11" x14ac:dyDescent="0.3">
      <c r="A56">
        <v>0.44558618529625499</v>
      </c>
      <c r="B56">
        <v>0.55000000000000004</v>
      </c>
      <c r="C56">
        <v>0.215</v>
      </c>
      <c r="D56">
        <v>0.66500000000000004</v>
      </c>
      <c r="E56">
        <v>0.45</v>
      </c>
      <c r="F56">
        <v>1</v>
      </c>
      <c r="G56">
        <v>0.40909090909090901</v>
      </c>
      <c r="H56">
        <v>0.73358032773200799</v>
      </c>
      <c r="I56" s="2">
        <f t="shared" si="1"/>
        <v>0.65651065967838396</v>
      </c>
      <c r="J56" s="2">
        <f t="shared" si="2"/>
        <v>0</v>
      </c>
      <c r="K56" s="2">
        <f t="shared" si="3"/>
        <v>-0.73358032773200799</v>
      </c>
    </row>
    <row r="57" spans="1:11" x14ac:dyDescent="0.3">
      <c r="A57">
        <v>0.44558618529625499</v>
      </c>
      <c r="B57">
        <v>0.55000000000000004</v>
      </c>
      <c r="C57">
        <v>0.36499999999999999</v>
      </c>
      <c r="D57">
        <v>0.66500000000000004</v>
      </c>
      <c r="E57">
        <v>0.3</v>
      </c>
      <c r="F57">
        <v>1</v>
      </c>
      <c r="G57">
        <v>0.40909090909090901</v>
      </c>
      <c r="H57">
        <v>0.66589835072663695</v>
      </c>
      <c r="I57" s="2">
        <f t="shared" si="1"/>
        <v>0.656191014017934</v>
      </c>
      <c r="J57" s="2">
        <f t="shared" si="2"/>
        <v>0</v>
      </c>
      <c r="K57" s="2">
        <f t="shared" si="3"/>
        <v>-0.66589835072663695</v>
      </c>
    </row>
    <row r="58" spans="1:11" x14ac:dyDescent="0.3">
      <c r="A58">
        <v>0.44558618529625499</v>
      </c>
      <c r="B58">
        <v>0.55000000000000004</v>
      </c>
      <c r="C58">
        <v>3.5000000000000003E-2</v>
      </c>
      <c r="D58">
        <v>0.33500000000000002</v>
      </c>
      <c r="E58">
        <v>0.3</v>
      </c>
      <c r="F58">
        <v>1</v>
      </c>
      <c r="G58">
        <v>0.40909090909090901</v>
      </c>
      <c r="H58">
        <v>0.61289218816551005</v>
      </c>
      <c r="I58" s="2">
        <f t="shared" si="1"/>
        <v>0.652189841184733</v>
      </c>
      <c r="J58" s="2">
        <f t="shared" si="2"/>
        <v>0</v>
      </c>
      <c r="K58" s="2">
        <f t="shared" si="3"/>
        <v>-0.61289218816551005</v>
      </c>
    </row>
    <row r="59" spans="1:11" x14ac:dyDescent="0.3">
      <c r="A59">
        <v>0.51712291666666699</v>
      </c>
      <c r="B59">
        <v>0.74166666666666703</v>
      </c>
      <c r="C59">
        <v>0.344444444444444</v>
      </c>
      <c r="D59">
        <v>0.66666666666666696</v>
      </c>
      <c r="E59">
        <v>0.32222222222222202</v>
      </c>
      <c r="F59">
        <v>0.66666666666666696</v>
      </c>
      <c r="G59">
        <v>0.16853932584269599</v>
      </c>
      <c r="H59">
        <v>0.89801895317123104</v>
      </c>
      <c r="I59" s="2">
        <f t="shared" si="1"/>
        <v>0.93792490535105544</v>
      </c>
      <c r="J59" s="2">
        <f t="shared" si="2"/>
        <v>0</v>
      </c>
      <c r="K59" s="2">
        <f t="shared" si="3"/>
        <v>-0.89801895317123104</v>
      </c>
    </row>
    <row r="60" spans="1:11" x14ac:dyDescent="0.3">
      <c r="A60">
        <v>0.51712291666666699</v>
      </c>
      <c r="B60">
        <v>0.74166666666666703</v>
      </c>
      <c r="C60">
        <v>0</v>
      </c>
      <c r="D60">
        <v>0.32222222222222202</v>
      </c>
      <c r="E60">
        <v>0.32222222222222202</v>
      </c>
      <c r="F60">
        <v>0.66666666666666696</v>
      </c>
      <c r="G60">
        <v>0.16853932584269599</v>
      </c>
      <c r="H60">
        <v>1.1638179683174801</v>
      </c>
      <c r="I60" s="2">
        <f t="shared" si="1"/>
        <v>1.1165156422150986</v>
      </c>
      <c r="J60" s="2">
        <f t="shared" si="2"/>
        <v>0</v>
      </c>
      <c r="K60" s="2">
        <f t="shared" si="3"/>
        <v>-1.1638179683174801</v>
      </c>
    </row>
    <row r="61" spans="1:11" x14ac:dyDescent="0.3">
      <c r="A61">
        <v>0.44558618529625499</v>
      </c>
      <c r="B61">
        <v>0.4</v>
      </c>
      <c r="C61">
        <v>0.22</v>
      </c>
      <c r="D61">
        <v>0.67</v>
      </c>
      <c r="E61">
        <v>0.45</v>
      </c>
      <c r="F61">
        <v>1</v>
      </c>
      <c r="G61">
        <v>0.75</v>
      </c>
      <c r="H61">
        <v>0.69712231598185104</v>
      </c>
      <c r="I61" s="2">
        <f t="shared" si="1"/>
        <v>0.62762440128796482</v>
      </c>
      <c r="J61" s="2">
        <f t="shared" si="2"/>
        <v>0</v>
      </c>
      <c r="K61" s="2">
        <f t="shared" si="3"/>
        <v>-0.69712231598185104</v>
      </c>
    </row>
    <row r="62" spans="1:11" x14ac:dyDescent="0.3">
      <c r="A62">
        <v>0.31078053142483802</v>
      </c>
      <c r="B62">
        <v>0.33108108108108097</v>
      </c>
      <c r="C62">
        <v>0.66</v>
      </c>
      <c r="D62">
        <v>0.91</v>
      </c>
      <c r="E62">
        <v>0.25</v>
      </c>
      <c r="F62">
        <v>1.48</v>
      </c>
      <c r="G62">
        <v>1.0204081632653099</v>
      </c>
      <c r="H62">
        <v>1.00359045730647</v>
      </c>
      <c r="I62" s="2">
        <f t="shared" si="1"/>
        <v>0.9307048525230156</v>
      </c>
      <c r="J62" s="2">
        <f t="shared" si="2"/>
        <v>0</v>
      </c>
      <c r="K62" s="2">
        <f t="shared" si="3"/>
        <v>-1.00359045730647</v>
      </c>
    </row>
    <row r="63" spans="1:11" x14ac:dyDescent="0.3">
      <c r="A63">
        <v>0.31078053142483802</v>
      </c>
      <c r="B63">
        <v>0.33108108108108097</v>
      </c>
      <c r="C63">
        <v>0.33</v>
      </c>
      <c r="D63">
        <v>0.57999999999999996</v>
      </c>
      <c r="E63">
        <v>0.25</v>
      </c>
      <c r="F63">
        <v>1.48</v>
      </c>
      <c r="G63">
        <v>1.0204081632653099</v>
      </c>
      <c r="H63">
        <v>0.92118520714853402</v>
      </c>
      <c r="I63" s="2">
        <f t="shared" si="1"/>
        <v>0.91716782047315337</v>
      </c>
      <c r="J63" s="2">
        <f t="shared" si="2"/>
        <v>0</v>
      </c>
      <c r="K63" s="2">
        <f t="shared" si="3"/>
        <v>-0.92118520714853402</v>
      </c>
    </row>
    <row r="64" spans="1:11" x14ac:dyDescent="0.3">
      <c r="A64">
        <v>0.31078053142483802</v>
      </c>
      <c r="B64">
        <v>0.33108108108108097</v>
      </c>
      <c r="C64">
        <v>0.08</v>
      </c>
      <c r="D64">
        <v>0.33</v>
      </c>
      <c r="E64">
        <v>0.25</v>
      </c>
      <c r="F64">
        <v>1.48</v>
      </c>
      <c r="G64">
        <v>1.0204081632653099</v>
      </c>
      <c r="H64">
        <v>1.0299223281261201</v>
      </c>
      <c r="I64" s="2">
        <f t="shared" si="1"/>
        <v>0.89245139574409127</v>
      </c>
      <c r="J64" s="2">
        <f t="shared" si="2"/>
        <v>0</v>
      </c>
      <c r="K64" s="2">
        <f t="shared" si="3"/>
        <v>-1.0299223281261201</v>
      </c>
    </row>
    <row r="65" spans="1:11" x14ac:dyDescent="0.3">
      <c r="A65">
        <v>0.27245455366140803</v>
      </c>
      <c r="B65">
        <v>0.5</v>
      </c>
      <c r="C65">
        <v>0.172924901185771</v>
      </c>
      <c r="D65">
        <v>0.56818181818181801</v>
      </c>
      <c r="E65">
        <v>0.39525691699604698</v>
      </c>
      <c r="F65">
        <v>1.1857707509881401</v>
      </c>
      <c r="G65">
        <v>0.5</v>
      </c>
      <c r="H65">
        <v>0.35048085359640202</v>
      </c>
      <c r="I65" s="2">
        <f t="shared" si="1"/>
        <v>0.50890543254565879</v>
      </c>
      <c r="J65" s="2">
        <f t="shared" si="2"/>
        <v>0</v>
      </c>
      <c r="K65" s="2">
        <f t="shared" si="3"/>
        <v>-0.35048085359640202</v>
      </c>
    </row>
    <row r="66" spans="1:11" x14ac:dyDescent="0.3">
      <c r="A66">
        <v>0.27245455366140803</v>
      </c>
      <c r="B66">
        <v>0.5</v>
      </c>
      <c r="C66">
        <v>0.17379679144384999</v>
      </c>
      <c r="D66">
        <v>0.53030303030303005</v>
      </c>
      <c r="E66">
        <v>0.35650623885917998</v>
      </c>
      <c r="F66">
        <v>1.0695187165775399</v>
      </c>
      <c r="G66">
        <v>0.5</v>
      </c>
      <c r="H66">
        <v>0.44010371817476801</v>
      </c>
      <c r="I66" s="2">
        <f t="shared" si="1"/>
        <v>0.50378699661060877</v>
      </c>
      <c r="J66" s="2">
        <f t="shared" si="2"/>
        <v>0</v>
      </c>
      <c r="K66" s="2">
        <f t="shared" si="3"/>
        <v>-0.44010371817476801</v>
      </c>
    </row>
    <row r="67" spans="1:11" x14ac:dyDescent="0.3">
      <c r="A67">
        <v>0.27245455366140803</v>
      </c>
      <c r="B67">
        <v>0.5</v>
      </c>
      <c r="C67">
        <v>0.13800000000000001</v>
      </c>
      <c r="D67">
        <v>0.33800000000000002</v>
      </c>
      <c r="E67">
        <v>0.2</v>
      </c>
      <c r="F67">
        <v>0.6</v>
      </c>
      <c r="G67">
        <v>0.5</v>
      </c>
      <c r="H67">
        <v>0.44006423217200102</v>
      </c>
      <c r="I67" s="2">
        <f t="shared" si="1"/>
        <v>0.69876465524191844</v>
      </c>
      <c r="J67" s="2">
        <f t="shared" si="2"/>
        <v>0</v>
      </c>
      <c r="K67" s="2">
        <f t="shared" si="3"/>
        <v>-0.44006423217200102</v>
      </c>
    </row>
    <row r="68" spans="1:11" x14ac:dyDescent="0.3">
      <c r="A68">
        <v>0.27245455366140803</v>
      </c>
      <c r="B68">
        <v>0.5</v>
      </c>
      <c r="C68">
        <v>0.16</v>
      </c>
      <c r="D68">
        <v>0.36</v>
      </c>
      <c r="E68">
        <v>0.2</v>
      </c>
      <c r="F68">
        <v>0.6</v>
      </c>
      <c r="G68">
        <v>0.5</v>
      </c>
      <c r="H68">
        <v>0.48355536899330798</v>
      </c>
      <c r="I68" s="2">
        <f t="shared" si="1"/>
        <v>0.69908431597194642</v>
      </c>
      <c r="J68" s="2">
        <f t="shared" si="2"/>
        <v>0</v>
      </c>
      <c r="K68" s="2">
        <f t="shared" si="3"/>
        <v>-0.48355536899330798</v>
      </c>
    </row>
    <row r="69" spans="1:11" x14ac:dyDescent="0.3">
      <c r="A69">
        <v>0.27245455366140803</v>
      </c>
      <c r="B69">
        <v>0.5</v>
      </c>
      <c r="C69">
        <v>0.25624999999999998</v>
      </c>
      <c r="D69">
        <v>0.50624999999999998</v>
      </c>
      <c r="E69">
        <v>0.25</v>
      </c>
      <c r="F69">
        <v>0.75</v>
      </c>
      <c r="G69">
        <v>0.5</v>
      </c>
      <c r="H69">
        <v>0.43933344375646299</v>
      </c>
      <c r="I69" s="2">
        <f t="shared" ref="I69:I105" si="4" xml:space="preserve"> N$8 * A69 + N$9 * B69 / (O$8 + LN(B69)) + N$10 * B69 / F69 - N$11 * EXP(O$9 * B69) - N$12 * EXP(O$10 * A69) + N$13 + N$14 * LN(B69) - N$15 * F69 / (O$11 + LN(F69)) - (N$16 * (F69 - O$12 * E69)) * (F69 + O$13 * D69 / (-O$14 * F69 + O$15 + O$16 * LN(B69)) + O$17 - O$18 * LN(D69) - N$17 * EXP(O$19 * F69))</f>
        <v>0.62900711628117811</v>
      </c>
      <c r="J69" s="2">
        <f t="shared" ref="J69:J105" si="5">case3_(A69,B69,C69,D69,E69,F69,G69)</f>
        <v>0</v>
      </c>
      <c r="K69" s="2">
        <f t="shared" ref="K69:K105" si="6">J69-H69</f>
        <v>-0.43933344375646299</v>
      </c>
    </row>
    <row r="70" spans="1:11" x14ac:dyDescent="0.3">
      <c r="A70">
        <v>0.26022155053158802</v>
      </c>
      <c r="B70">
        <v>0.52631578947368396</v>
      </c>
      <c r="C70">
        <v>0.45088601662069799</v>
      </c>
      <c r="D70">
        <v>0.69331025904494104</v>
      </c>
      <c r="E70">
        <v>0.24242424242424199</v>
      </c>
      <c r="F70">
        <v>0.57575757575757602</v>
      </c>
      <c r="G70">
        <v>0.4</v>
      </c>
      <c r="H70">
        <v>0.82751798372088203</v>
      </c>
      <c r="I70" s="2">
        <f t="shared" si="4"/>
        <v>0.69653498166172656</v>
      </c>
      <c r="J70" s="2">
        <f t="shared" si="5"/>
        <v>0</v>
      </c>
      <c r="K70" s="2">
        <f t="shared" si="6"/>
        <v>-0.82751798372088203</v>
      </c>
    </row>
    <row r="71" spans="1:11" x14ac:dyDescent="0.3">
      <c r="A71">
        <v>0.26022155053158802</v>
      </c>
      <c r="B71">
        <v>0.52631578947368396</v>
      </c>
      <c r="C71">
        <v>0.225551169037189</v>
      </c>
      <c r="D71">
        <v>0.46797541146143201</v>
      </c>
      <c r="E71">
        <v>0.24242424242424199</v>
      </c>
      <c r="F71">
        <v>0.57575757575757602</v>
      </c>
      <c r="G71">
        <v>0.4</v>
      </c>
      <c r="H71">
        <v>0.80326091823749701</v>
      </c>
      <c r="I71" s="2">
        <f t="shared" si="4"/>
        <v>0.70223670270328209</v>
      </c>
      <c r="J71" s="2">
        <f t="shared" si="5"/>
        <v>0</v>
      </c>
      <c r="K71" s="2">
        <f t="shared" si="6"/>
        <v>-0.80326091823749701</v>
      </c>
    </row>
    <row r="72" spans="1:11" x14ac:dyDescent="0.3">
      <c r="A72">
        <v>0.26022155053158802</v>
      </c>
      <c r="B72">
        <v>0.52631578947368396</v>
      </c>
      <c r="C72">
        <v>7.2323472680402998E-2</v>
      </c>
      <c r="D72">
        <v>0.314747715104645</v>
      </c>
      <c r="E72">
        <v>0.24242424242424199</v>
      </c>
      <c r="F72">
        <v>0.57575757575757602</v>
      </c>
      <c r="G72">
        <v>0.4</v>
      </c>
      <c r="H72">
        <v>0.84579597774092996</v>
      </c>
      <c r="I72" s="2">
        <f t="shared" si="4"/>
        <v>0.70284931393458661</v>
      </c>
      <c r="J72" s="2">
        <f t="shared" si="5"/>
        <v>0</v>
      </c>
      <c r="K72" s="2">
        <f t="shared" si="6"/>
        <v>-0.84579597774092996</v>
      </c>
    </row>
    <row r="73" spans="1:11" x14ac:dyDescent="0.3">
      <c r="A73">
        <v>0.35265771076355301</v>
      </c>
      <c r="B73">
        <v>0.25</v>
      </c>
      <c r="C73">
        <v>0.45134281200631898</v>
      </c>
      <c r="D73">
        <v>0.55134281200631896</v>
      </c>
      <c r="E73">
        <v>0.1</v>
      </c>
      <c r="F73">
        <v>0.2</v>
      </c>
      <c r="G73">
        <v>0</v>
      </c>
      <c r="H73">
        <v>0.96785090770490101</v>
      </c>
      <c r="I73" s="2">
        <f t="shared" si="4"/>
        <v>0.97153670173432072</v>
      </c>
      <c r="J73" s="2">
        <f t="shared" si="5"/>
        <v>0</v>
      </c>
      <c r="K73" s="2">
        <f t="shared" si="6"/>
        <v>-0.96785090770490101</v>
      </c>
    </row>
    <row r="74" spans="1:11" x14ac:dyDescent="0.3">
      <c r="A74">
        <v>0.35265771076355301</v>
      </c>
      <c r="B74">
        <v>0.25</v>
      </c>
      <c r="C74">
        <v>0.105</v>
      </c>
      <c r="D74">
        <v>0.20499999999999999</v>
      </c>
      <c r="E74">
        <v>0.1</v>
      </c>
      <c r="F74">
        <v>0.2</v>
      </c>
      <c r="G74">
        <v>0</v>
      </c>
      <c r="H74">
        <v>0.98099886700272398</v>
      </c>
      <c r="I74" s="2">
        <f t="shared" si="4"/>
        <v>0.96607927946231009</v>
      </c>
      <c r="J74" s="2">
        <f t="shared" si="5"/>
        <v>0</v>
      </c>
      <c r="K74" s="2">
        <f t="shared" si="6"/>
        <v>-0.98099886700272398</v>
      </c>
    </row>
    <row r="75" spans="1:11" x14ac:dyDescent="0.3">
      <c r="A75">
        <v>0.24866889861532601</v>
      </c>
      <c r="B75">
        <v>0.32</v>
      </c>
      <c r="C75">
        <v>0.28999999999999998</v>
      </c>
      <c r="D75">
        <v>0.79</v>
      </c>
      <c r="E75">
        <v>0.5</v>
      </c>
      <c r="F75">
        <v>1.5</v>
      </c>
      <c r="G75">
        <v>1.0625</v>
      </c>
      <c r="H75">
        <v>1.0209450651348799</v>
      </c>
      <c r="I75" s="2">
        <f t="shared" si="4"/>
        <v>0.95633754175580044</v>
      </c>
      <c r="J75" s="2">
        <f t="shared" si="5"/>
        <v>0</v>
      </c>
      <c r="K75" s="2">
        <f t="shared" si="6"/>
        <v>-1.0209450651348799</v>
      </c>
    </row>
    <row r="76" spans="1:11" x14ac:dyDescent="0.3">
      <c r="A76">
        <v>0.24866889861532601</v>
      </c>
      <c r="B76">
        <v>0.32</v>
      </c>
      <c r="C76">
        <v>0.38</v>
      </c>
      <c r="D76">
        <v>0.88</v>
      </c>
      <c r="E76">
        <v>0.5</v>
      </c>
      <c r="F76">
        <v>1.5</v>
      </c>
      <c r="G76">
        <v>1.0625</v>
      </c>
      <c r="H76">
        <v>0.80299814363376099</v>
      </c>
      <c r="I76" s="2">
        <f t="shared" si="4"/>
        <v>0.95923939616699017</v>
      </c>
      <c r="J76" s="2">
        <f t="shared" si="5"/>
        <v>0</v>
      </c>
      <c r="K76" s="2">
        <f t="shared" si="6"/>
        <v>-0.80299814363376099</v>
      </c>
    </row>
    <row r="77" spans="1:11" x14ac:dyDescent="0.3">
      <c r="A77">
        <v>0.368816399721904</v>
      </c>
      <c r="B77">
        <v>0.25</v>
      </c>
      <c r="C77">
        <v>0.24</v>
      </c>
      <c r="D77">
        <v>0.48</v>
      </c>
      <c r="E77">
        <v>0.24</v>
      </c>
      <c r="F77">
        <v>0.48</v>
      </c>
      <c r="G77">
        <v>0.86666666666666703</v>
      </c>
      <c r="H77">
        <v>1.07840642004683</v>
      </c>
      <c r="I77" s="2">
        <f t="shared" si="4"/>
        <v>1.1465267652646041</v>
      </c>
      <c r="J77" s="2">
        <f t="shared" si="5"/>
        <v>0</v>
      </c>
      <c r="K77" s="2">
        <f t="shared" si="6"/>
        <v>-1.07840642004683</v>
      </c>
    </row>
    <row r="78" spans="1:11" x14ac:dyDescent="0.3">
      <c r="A78">
        <v>0.368816399721904</v>
      </c>
      <c r="B78">
        <v>0.25</v>
      </c>
      <c r="C78">
        <v>0</v>
      </c>
      <c r="D78">
        <v>0.24</v>
      </c>
      <c r="E78">
        <v>0.24</v>
      </c>
      <c r="F78">
        <v>0.48</v>
      </c>
      <c r="G78">
        <v>0.86666666666666703</v>
      </c>
      <c r="H78">
        <v>1.20687316557003</v>
      </c>
      <c r="I78" s="2">
        <f t="shared" si="4"/>
        <v>1.1365297247738499</v>
      </c>
      <c r="J78" s="2">
        <f t="shared" si="5"/>
        <v>0</v>
      </c>
      <c r="K78" s="2">
        <f t="shared" si="6"/>
        <v>-1.20687316557003</v>
      </c>
    </row>
    <row r="79" spans="1:11" x14ac:dyDescent="0.3">
      <c r="A79">
        <v>0.6851488</v>
      </c>
      <c r="B79">
        <v>0.6</v>
      </c>
      <c r="C79">
        <v>0.24</v>
      </c>
      <c r="D79">
        <v>0.48</v>
      </c>
      <c r="E79">
        <v>0.24</v>
      </c>
      <c r="F79">
        <v>0.2</v>
      </c>
      <c r="G79">
        <v>0.33333333333333298</v>
      </c>
      <c r="H79">
        <v>1.2053210280345199</v>
      </c>
      <c r="I79" s="2">
        <f t="shared" si="4"/>
        <v>1.2045357729114767</v>
      </c>
      <c r="J79" s="2">
        <f t="shared" si="5"/>
        <v>0</v>
      </c>
      <c r="K79" s="2">
        <f t="shared" si="6"/>
        <v>-1.2053210280345199</v>
      </c>
    </row>
    <row r="80" spans="1:11" x14ac:dyDescent="0.3">
      <c r="A80">
        <v>0.26356643991892398</v>
      </c>
      <c r="B80">
        <v>0.532258064516129</v>
      </c>
      <c r="C80">
        <v>0.233644859813084</v>
      </c>
      <c r="D80">
        <v>0.47663551401869197</v>
      </c>
      <c r="E80">
        <v>0.242990654205607</v>
      </c>
      <c r="F80">
        <v>0.579439252336449</v>
      </c>
      <c r="G80">
        <v>0.39393939393939398</v>
      </c>
      <c r="H80">
        <v>0.62715334228800601</v>
      </c>
      <c r="I80" s="2">
        <f t="shared" si="4"/>
        <v>0.70441422377095864</v>
      </c>
      <c r="J80" s="2">
        <f t="shared" si="5"/>
        <v>0</v>
      </c>
      <c r="K80" s="2">
        <f t="shared" si="6"/>
        <v>-0.62715334228800601</v>
      </c>
    </row>
    <row r="81" spans="1:12" x14ac:dyDescent="0.3">
      <c r="A81">
        <v>0.26356643991892398</v>
      </c>
      <c r="B81">
        <v>0.532258064516129</v>
      </c>
      <c r="C81">
        <v>7.4766355140186896E-2</v>
      </c>
      <c r="D81">
        <v>0.31775700934579398</v>
      </c>
      <c r="E81">
        <v>0.242990654205607</v>
      </c>
      <c r="F81">
        <v>0.579439252336449</v>
      </c>
      <c r="G81">
        <v>0.39393939393939398</v>
      </c>
      <c r="H81">
        <v>0.84339287035963295</v>
      </c>
      <c r="I81" s="2">
        <f t="shared" si="4"/>
        <v>0.70550992419743785</v>
      </c>
      <c r="J81" s="2">
        <f t="shared" si="5"/>
        <v>0</v>
      </c>
      <c r="K81" s="2">
        <f t="shared" si="6"/>
        <v>-0.84339287035963295</v>
      </c>
    </row>
    <row r="82" spans="1:12" x14ac:dyDescent="0.3">
      <c r="A82">
        <v>0.26356643991892398</v>
      </c>
      <c r="B82">
        <v>0.532258064516129</v>
      </c>
      <c r="C82">
        <v>0.233644859813084</v>
      </c>
      <c r="D82">
        <v>0.47663551401869197</v>
      </c>
      <c r="E82">
        <v>0.242990654205607</v>
      </c>
      <c r="F82">
        <v>0.579439252336449</v>
      </c>
      <c r="G82">
        <v>0.39393939393939398</v>
      </c>
      <c r="H82">
        <v>0.72135774404494701</v>
      </c>
      <c r="I82" s="2">
        <f t="shared" si="4"/>
        <v>0.70441422377095864</v>
      </c>
      <c r="J82" s="2">
        <f t="shared" si="5"/>
        <v>0</v>
      </c>
      <c r="K82" s="2">
        <f t="shared" si="6"/>
        <v>-0.72135774404494701</v>
      </c>
    </row>
    <row r="83" spans="1:12" x14ac:dyDescent="0.3">
      <c r="A83">
        <v>0.26356643991892398</v>
      </c>
      <c r="B83">
        <v>0.532258064516129</v>
      </c>
      <c r="C83">
        <v>7.4766355140186896E-2</v>
      </c>
      <c r="D83">
        <v>0.31775700934579398</v>
      </c>
      <c r="E83">
        <v>0.242990654205607</v>
      </c>
      <c r="F83">
        <v>0.579439252336449</v>
      </c>
      <c r="G83">
        <v>0.39393939393939398</v>
      </c>
      <c r="H83">
        <v>0.94994364247319296</v>
      </c>
      <c r="I83" s="2">
        <f t="shared" si="4"/>
        <v>0.70550992419743785</v>
      </c>
      <c r="J83" s="2">
        <f t="shared" si="5"/>
        <v>0</v>
      </c>
      <c r="K83" s="2">
        <f t="shared" si="6"/>
        <v>-0.94994364247319296</v>
      </c>
    </row>
    <row r="84" spans="1:12" x14ac:dyDescent="0.3">
      <c r="A84">
        <v>0.26356643991892398</v>
      </c>
      <c r="B84">
        <v>0.532258064516129</v>
      </c>
      <c r="C84">
        <v>0.44545454545454499</v>
      </c>
      <c r="D84">
        <v>0.68181818181818199</v>
      </c>
      <c r="E84">
        <v>0.236363636363636</v>
      </c>
      <c r="F84">
        <v>0.56363636363636405</v>
      </c>
      <c r="G84">
        <v>0.39393939393939398</v>
      </c>
      <c r="H84">
        <v>0.81574280876459304</v>
      </c>
      <c r="I84" s="2">
        <f t="shared" si="4"/>
        <v>0.69964012187751146</v>
      </c>
      <c r="J84" s="2">
        <f t="shared" si="5"/>
        <v>0</v>
      </c>
      <c r="K84" s="2">
        <f t="shared" si="6"/>
        <v>-0.81574280876459304</v>
      </c>
    </row>
    <row r="85" spans="1:12" x14ac:dyDescent="0.3">
      <c r="A85">
        <v>0.26356643991892398</v>
      </c>
      <c r="B85">
        <v>0.532258064516129</v>
      </c>
      <c r="C85">
        <v>0.44954128440367003</v>
      </c>
      <c r="D85">
        <v>0.68807339449541305</v>
      </c>
      <c r="E85">
        <v>0.23853211009174299</v>
      </c>
      <c r="F85">
        <v>0.56880733944954098</v>
      </c>
      <c r="G85">
        <v>0.39393939393939398</v>
      </c>
      <c r="H85">
        <v>0.63385228980708697</v>
      </c>
      <c r="I85" s="2">
        <f t="shared" si="4"/>
        <v>0.69952742384987188</v>
      </c>
      <c r="J85" s="2">
        <f t="shared" si="5"/>
        <v>0</v>
      </c>
      <c r="K85" s="2">
        <f t="shared" si="6"/>
        <v>-0.63385228980708697</v>
      </c>
    </row>
    <row r="86" spans="1:12" x14ac:dyDescent="0.3">
      <c r="A86" t="s">
        <v>2</v>
      </c>
      <c r="B86" t="s">
        <v>3</v>
      </c>
      <c r="C86" t="s">
        <v>4</v>
      </c>
      <c r="D86" t="s">
        <v>5</v>
      </c>
      <c r="E86" t="s">
        <v>6</v>
      </c>
      <c r="F86" t="s">
        <v>7</v>
      </c>
      <c r="G86" t="s">
        <v>8</v>
      </c>
      <c r="H86" t="s">
        <v>9</v>
      </c>
      <c r="I86" s="2" t="e">
        <f t="shared" si="4"/>
        <v>#VALUE!</v>
      </c>
      <c r="J86" s="2">
        <f t="shared" si="5"/>
        <v>0</v>
      </c>
      <c r="K86" s="2" t="e">
        <f t="shared" si="6"/>
        <v>#VALUE!</v>
      </c>
      <c r="L86">
        <f>SQRT(SUMSQ(K87:K105)/COUNT(K87:K105))</f>
        <v>0.67140763703200768</v>
      </c>
    </row>
    <row r="87" spans="1:12" x14ac:dyDescent="0.3">
      <c r="A87">
        <v>0.319090064269206</v>
      </c>
      <c r="B87">
        <v>0.24444444444444399</v>
      </c>
      <c r="C87">
        <v>5.00399977144163E-2</v>
      </c>
      <c r="D87">
        <v>0.278598365807668</v>
      </c>
      <c r="E87">
        <v>0.228558368093252</v>
      </c>
      <c r="F87">
        <v>0.64282041026227099</v>
      </c>
      <c r="G87">
        <v>0.68181818181818199</v>
      </c>
      <c r="H87">
        <v>0.54898194011212098</v>
      </c>
      <c r="I87" s="2">
        <f t="shared" si="4"/>
        <v>0.61043160025976206</v>
      </c>
      <c r="J87" s="2">
        <f t="shared" si="5"/>
        <v>0</v>
      </c>
      <c r="K87" s="2">
        <f t="shared" si="6"/>
        <v>-0.54898194011212098</v>
      </c>
    </row>
    <row r="88" spans="1:12" x14ac:dyDescent="0.3">
      <c r="A88">
        <v>0.319090064269206</v>
      </c>
      <c r="B88">
        <v>0.24444444444444399</v>
      </c>
      <c r="C88">
        <v>3.29214858090238E-2</v>
      </c>
      <c r="D88">
        <v>0.24345057171804901</v>
      </c>
      <c r="E88">
        <v>0.210529085909025</v>
      </c>
      <c r="F88">
        <v>0.59211305411913295</v>
      </c>
      <c r="G88">
        <v>0.68181818181818199</v>
      </c>
      <c r="H88">
        <v>0.66090120799052499</v>
      </c>
      <c r="I88" s="2">
        <f t="shared" si="4"/>
        <v>0.62687011433838191</v>
      </c>
      <c r="J88" s="2">
        <f t="shared" si="5"/>
        <v>0</v>
      </c>
      <c r="K88" s="2">
        <f t="shared" si="6"/>
        <v>-0.66090120799052499</v>
      </c>
    </row>
    <row r="89" spans="1:12" x14ac:dyDescent="0.3">
      <c r="A89">
        <v>0.30376590132493603</v>
      </c>
      <c r="B89">
        <v>0.46666666666666701</v>
      </c>
      <c r="C89">
        <v>0.58115777525539203</v>
      </c>
      <c r="D89">
        <v>0.86492622020431298</v>
      </c>
      <c r="E89">
        <v>0.28376844494892201</v>
      </c>
      <c r="F89">
        <v>0.60807523917626105</v>
      </c>
      <c r="G89">
        <v>0.59523809523809501</v>
      </c>
      <c r="H89">
        <v>0.54297320720291198</v>
      </c>
      <c r="I89" s="2">
        <f t="shared" si="4"/>
        <v>0.70529578557209438</v>
      </c>
      <c r="J89" s="2">
        <f t="shared" si="5"/>
        <v>0</v>
      </c>
      <c r="K89" s="2">
        <f t="shared" si="6"/>
        <v>-0.54297320720291198</v>
      </c>
    </row>
    <row r="90" spans="1:12" x14ac:dyDescent="0.3">
      <c r="A90">
        <v>0.33472366352331001</v>
      </c>
      <c r="B90">
        <v>0.17777777777777801</v>
      </c>
      <c r="C90">
        <v>0.26428571428571401</v>
      </c>
      <c r="D90">
        <v>0.42857142857142799</v>
      </c>
      <c r="E90">
        <v>0.16428571428571401</v>
      </c>
      <c r="F90">
        <v>0.64285714285714302</v>
      </c>
      <c r="G90">
        <v>0.9375</v>
      </c>
      <c r="H90">
        <v>0.55062862428114101</v>
      </c>
      <c r="I90" s="2">
        <f t="shared" si="4"/>
        <v>0.5859961978343684</v>
      </c>
      <c r="J90" s="2">
        <f t="shared" si="5"/>
        <v>0</v>
      </c>
      <c r="K90" s="2">
        <f t="shared" si="6"/>
        <v>-0.55062862428114101</v>
      </c>
    </row>
    <row r="91" spans="1:12" x14ac:dyDescent="0.3">
      <c r="A91">
        <v>0.48699700163245901</v>
      </c>
      <c r="B91">
        <v>0.17777777777777801</v>
      </c>
      <c r="C91">
        <v>0.42857142857142899</v>
      </c>
      <c r="D91">
        <v>0.59285714285714297</v>
      </c>
      <c r="E91">
        <v>0.16428571428571401</v>
      </c>
      <c r="F91">
        <v>0.64285714285714302</v>
      </c>
      <c r="G91">
        <v>0.9375</v>
      </c>
      <c r="H91">
        <v>0.76430814638974998</v>
      </c>
      <c r="I91" s="2">
        <f t="shared" si="4"/>
        <v>0.71775733211507386</v>
      </c>
      <c r="J91" s="2">
        <f t="shared" si="5"/>
        <v>0</v>
      </c>
      <c r="K91" s="2">
        <f t="shared" si="6"/>
        <v>-0.76430814638974998</v>
      </c>
    </row>
    <row r="92" spans="1:12" x14ac:dyDescent="0.3">
      <c r="A92">
        <v>0.48699700163245901</v>
      </c>
      <c r="B92">
        <v>0.17777777777777801</v>
      </c>
      <c r="C92">
        <v>0.47857142857142898</v>
      </c>
      <c r="D92">
        <v>0.64285714285714302</v>
      </c>
      <c r="E92">
        <v>0.16428571428571401</v>
      </c>
      <c r="F92">
        <v>0.64285714285714302</v>
      </c>
      <c r="G92">
        <v>0.9375</v>
      </c>
      <c r="H92">
        <v>0.68680856025108095</v>
      </c>
      <c r="I92" s="2">
        <f t="shared" si="4"/>
        <v>0.71913399005078638</v>
      </c>
      <c r="J92" s="2">
        <f t="shared" si="5"/>
        <v>0</v>
      </c>
      <c r="K92" s="2">
        <f t="shared" si="6"/>
        <v>-0.68680856025108095</v>
      </c>
    </row>
    <row r="93" spans="1:12" x14ac:dyDescent="0.3">
      <c r="A93">
        <v>0.48302343172405598</v>
      </c>
      <c r="B93">
        <v>0.17777777777777801</v>
      </c>
      <c r="C93">
        <v>0.55000000000000004</v>
      </c>
      <c r="D93">
        <v>0.78571428571428603</v>
      </c>
      <c r="E93">
        <v>0.23571428571428599</v>
      </c>
      <c r="F93">
        <v>0.64285714285714302</v>
      </c>
      <c r="G93">
        <v>0.75</v>
      </c>
      <c r="H93">
        <v>0.65662670275510704</v>
      </c>
      <c r="I93" s="2">
        <f t="shared" si="4"/>
        <v>0.71855880180701881</v>
      </c>
      <c r="J93" s="2">
        <f t="shared" si="5"/>
        <v>0</v>
      </c>
      <c r="K93" s="2">
        <f t="shared" si="6"/>
        <v>-0.65662670275510704</v>
      </c>
    </row>
    <row r="94" spans="1:12" x14ac:dyDescent="0.3">
      <c r="A94">
        <v>0.33943859102284801</v>
      </c>
      <c r="B94">
        <v>0.17777777777777801</v>
      </c>
      <c r="C94">
        <v>0.60283687943262398</v>
      </c>
      <c r="D94">
        <v>0.83687943262411302</v>
      </c>
      <c r="E94">
        <v>0.23404255319148901</v>
      </c>
      <c r="F94">
        <v>0.63829787234042601</v>
      </c>
      <c r="G94">
        <v>0.75</v>
      </c>
      <c r="H94">
        <v>0.64367669578096198</v>
      </c>
      <c r="I94" s="2">
        <f t="shared" si="4"/>
        <v>0.60279312587187506</v>
      </c>
      <c r="J94" s="2">
        <f t="shared" si="5"/>
        <v>0</v>
      </c>
      <c r="K94" s="2">
        <f t="shared" si="6"/>
        <v>-0.64367669578096198</v>
      </c>
    </row>
    <row r="95" spans="1:12" x14ac:dyDescent="0.3">
      <c r="A95">
        <v>0.48626604750336599</v>
      </c>
      <c r="B95">
        <v>0.17777777777777801</v>
      </c>
      <c r="C95">
        <v>0.23741007194244601</v>
      </c>
      <c r="D95">
        <v>0.402877697841727</v>
      </c>
      <c r="E95">
        <v>0.16546762589928099</v>
      </c>
      <c r="F95">
        <v>0.64748201438848896</v>
      </c>
      <c r="G95">
        <v>0.9375</v>
      </c>
      <c r="H95">
        <v>0.73249406798643202</v>
      </c>
      <c r="I95" s="2">
        <f t="shared" si="4"/>
        <v>0.70759465385001119</v>
      </c>
      <c r="J95" s="2">
        <f t="shared" si="5"/>
        <v>0</v>
      </c>
      <c r="K95" s="2">
        <f t="shared" si="6"/>
        <v>-0.73249406798643202</v>
      </c>
    </row>
    <row r="96" spans="1:12" x14ac:dyDescent="0.3">
      <c r="A96">
        <v>0.27511404478700902</v>
      </c>
      <c r="B96">
        <v>0.37853107344632803</v>
      </c>
      <c r="C96">
        <v>0.49166666666666697</v>
      </c>
      <c r="D96">
        <v>0.95416666666666705</v>
      </c>
      <c r="E96">
        <v>0.46250000000000002</v>
      </c>
      <c r="F96">
        <v>0.73750000000000004</v>
      </c>
      <c r="G96">
        <v>1.4029850746268699</v>
      </c>
      <c r="H96">
        <v>0.572258199939646</v>
      </c>
      <c r="I96" s="2">
        <f t="shared" si="4"/>
        <v>0.60830324599166019</v>
      </c>
      <c r="J96" s="2">
        <f t="shared" si="5"/>
        <v>0</v>
      </c>
      <c r="K96" s="2">
        <f t="shared" si="6"/>
        <v>-0.572258199939646</v>
      </c>
    </row>
    <row r="97" spans="1:11" x14ac:dyDescent="0.3">
      <c r="A97">
        <v>0.116617219019459</v>
      </c>
      <c r="B97">
        <v>0.38961038961039002</v>
      </c>
      <c r="C97">
        <v>0.14583333333333301</v>
      </c>
      <c r="D97">
        <v>0.29166666666666702</v>
      </c>
      <c r="E97">
        <v>0.14583333333333301</v>
      </c>
      <c r="F97">
        <v>0.32083333333333303</v>
      </c>
      <c r="G97">
        <v>0.86666666666666703</v>
      </c>
      <c r="H97">
        <v>0.80151543294961003</v>
      </c>
      <c r="I97" s="2">
        <f t="shared" si="4"/>
        <v>0.82366585086711186</v>
      </c>
      <c r="J97" s="2">
        <f t="shared" si="5"/>
        <v>0</v>
      </c>
      <c r="K97" s="2">
        <f t="shared" si="6"/>
        <v>-0.80151543294961003</v>
      </c>
    </row>
    <row r="98" spans="1:11" x14ac:dyDescent="0.3">
      <c r="A98">
        <v>0.116617219019459</v>
      </c>
      <c r="B98">
        <v>0.38961038961039002</v>
      </c>
      <c r="C98">
        <v>0.5625</v>
      </c>
      <c r="D98">
        <v>0.70833333333333304</v>
      </c>
      <c r="E98">
        <v>0.14583333333333301</v>
      </c>
      <c r="F98">
        <v>0.32083333333333303</v>
      </c>
      <c r="G98">
        <v>0.86666666666666703</v>
      </c>
      <c r="H98">
        <v>0.89492916225498198</v>
      </c>
      <c r="I98" s="2">
        <f t="shared" si="4"/>
        <v>0.8253087908532557</v>
      </c>
      <c r="J98" s="2">
        <f t="shared" si="5"/>
        <v>0</v>
      </c>
      <c r="K98" s="2">
        <f t="shared" si="6"/>
        <v>-0.89492916225498198</v>
      </c>
    </row>
    <row r="99" spans="1:11" x14ac:dyDescent="0.3">
      <c r="A99">
        <v>0.44939146609105401</v>
      </c>
      <c r="B99">
        <v>0.48780487804877998</v>
      </c>
      <c r="C99">
        <v>0.45833333333333298</v>
      </c>
      <c r="D99">
        <v>0.76666666666666705</v>
      </c>
      <c r="E99">
        <v>0.30833333333333302</v>
      </c>
      <c r="F99">
        <v>0.51249999999999996</v>
      </c>
      <c r="G99">
        <v>1.8333333333333299</v>
      </c>
      <c r="H99">
        <v>0.67280033676482098</v>
      </c>
      <c r="I99" s="2">
        <f t="shared" si="4"/>
        <v>0.74842818265740663</v>
      </c>
      <c r="J99" s="2">
        <f t="shared" si="5"/>
        <v>0</v>
      </c>
      <c r="K99" s="2">
        <f t="shared" si="6"/>
        <v>-0.67280033676482098</v>
      </c>
    </row>
    <row r="100" spans="1:11" x14ac:dyDescent="0.3">
      <c r="A100">
        <v>0.44939146609105401</v>
      </c>
      <c r="B100">
        <v>0.48780487804877998</v>
      </c>
      <c r="C100">
        <v>0.52500000000000002</v>
      </c>
      <c r="D100">
        <v>0.83333333333333304</v>
      </c>
      <c r="E100">
        <v>0.30833333333333302</v>
      </c>
      <c r="F100">
        <v>0.51249999999999996</v>
      </c>
      <c r="G100">
        <v>1.8333333333333299</v>
      </c>
      <c r="H100">
        <v>0.63761321333600096</v>
      </c>
      <c r="I100" s="2">
        <f t="shared" si="4"/>
        <v>0.74664398003900501</v>
      </c>
      <c r="J100" s="2">
        <f t="shared" si="5"/>
        <v>0</v>
      </c>
      <c r="K100" s="2">
        <f t="shared" si="6"/>
        <v>-0.63761321333600096</v>
      </c>
    </row>
    <row r="101" spans="1:11" x14ac:dyDescent="0.3">
      <c r="A101">
        <v>0.44558618529625499</v>
      </c>
      <c r="B101">
        <v>0.85</v>
      </c>
      <c r="C101">
        <v>6.5000000000000099E-2</v>
      </c>
      <c r="D101">
        <v>0.66500000000000004</v>
      </c>
      <c r="E101">
        <v>0.6</v>
      </c>
      <c r="F101">
        <v>1</v>
      </c>
      <c r="G101">
        <v>8.8235294117647106E-2</v>
      </c>
      <c r="H101">
        <v>0.82395813469428403</v>
      </c>
      <c r="I101" s="2">
        <f t="shared" si="4"/>
        <v>0.45375004382726303</v>
      </c>
      <c r="J101" s="2">
        <f t="shared" si="5"/>
        <v>0</v>
      </c>
      <c r="K101" s="2">
        <f t="shared" si="6"/>
        <v>-0.82395813469428403</v>
      </c>
    </row>
    <row r="102" spans="1:11" x14ac:dyDescent="0.3">
      <c r="A102">
        <v>0.44558618529625499</v>
      </c>
      <c r="B102">
        <v>0.85</v>
      </c>
      <c r="C102">
        <v>0.215</v>
      </c>
      <c r="D102">
        <v>0.66500000000000004</v>
      </c>
      <c r="E102">
        <v>0.45</v>
      </c>
      <c r="F102">
        <v>1</v>
      </c>
      <c r="G102">
        <v>8.8235294117647106E-2</v>
      </c>
      <c r="H102">
        <v>0.82681047937832297</v>
      </c>
      <c r="I102" s="2">
        <f t="shared" si="4"/>
        <v>0.45327859639703894</v>
      </c>
      <c r="J102" s="2">
        <f t="shared" si="5"/>
        <v>0</v>
      </c>
      <c r="K102" s="2">
        <f t="shared" si="6"/>
        <v>-0.82681047937832297</v>
      </c>
    </row>
    <row r="103" spans="1:11" x14ac:dyDescent="0.3">
      <c r="A103">
        <v>0.27245455366140803</v>
      </c>
      <c r="B103">
        <v>0.5</v>
      </c>
      <c r="C103">
        <v>0</v>
      </c>
      <c r="D103">
        <v>0.35618878005342802</v>
      </c>
      <c r="E103">
        <v>0.35618878005342802</v>
      </c>
      <c r="F103">
        <v>1.0685663401602801</v>
      </c>
      <c r="G103">
        <v>0.5</v>
      </c>
      <c r="H103">
        <v>0.42536995768193803</v>
      </c>
      <c r="I103" s="2">
        <f t="shared" si="4"/>
        <v>0.49702186577740826</v>
      </c>
      <c r="J103" s="2">
        <f t="shared" si="5"/>
        <v>0</v>
      </c>
      <c r="K103" s="2">
        <f t="shared" si="6"/>
        <v>-0.42536995768193803</v>
      </c>
    </row>
    <row r="104" spans="1:11" x14ac:dyDescent="0.3">
      <c r="A104">
        <v>0.27245455366140803</v>
      </c>
      <c r="B104">
        <v>0.5</v>
      </c>
      <c r="C104">
        <v>0.28472906403940901</v>
      </c>
      <c r="D104">
        <v>0.481773399014778</v>
      </c>
      <c r="E104">
        <v>0.197044334975369</v>
      </c>
      <c r="F104">
        <v>0.59113300492610799</v>
      </c>
      <c r="G104">
        <v>0.5</v>
      </c>
      <c r="H104">
        <v>0.47841728084649199</v>
      </c>
      <c r="I104" s="2">
        <f t="shared" si="4"/>
        <v>0.70193105056495364</v>
      </c>
      <c r="J104" s="2">
        <f t="shared" si="5"/>
        <v>0</v>
      </c>
      <c r="K104" s="2">
        <f t="shared" si="6"/>
        <v>-0.47841728084649199</v>
      </c>
    </row>
    <row r="105" spans="1:11" x14ac:dyDescent="0.3">
      <c r="A105">
        <v>0.26356643991892398</v>
      </c>
      <c r="B105">
        <v>0.532258064516129</v>
      </c>
      <c r="C105">
        <v>0.453703703703704</v>
      </c>
      <c r="D105">
        <v>0.69444444444444398</v>
      </c>
      <c r="E105">
        <v>0.240740740740741</v>
      </c>
      <c r="F105">
        <v>0.57407407407407396</v>
      </c>
      <c r="G105">
        <v>0.39393939393939398</v>
      </c>
      <c r="H105">
        <v>0.62332422544194299</v>
      </c>
      <c r="I105" s="2">
        <f t="shared" si="4"/>
        <v>0.6990042198495785</v>
      </c>
      <c r="J105" s="2">
        <f t="shared" si="5"/>
        <v>0</v>
      </c>
      <c r="K105" s="2">
        <f t="shared" si="6"/>
        <v>-0.62332422544194299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32"/>
  <sheetViews>
    <sheetView workbookViewId="0">
      <selection activeCell="I2" sqref="I2"/>
    </sheetView>
  </sheetViews>
  <sheetFormatPr defaultRowHeight="14.4" x14ac:dyDescent="0.3"/>
  <sheetData>
    <row r="1" spans="1:17" x14ac:dyDescent="0.3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</row>
    <row r="2" spans="1:17" x14ac:dyDescent="0.3">
      <c r="A2">
        <v>0.319090064269206</v>
      </c>
      <c r="B2">
        <v>0.24444444444444399</v>
      </c>
      <c r="C2">
        <v>-0.226953573809558</v>
      </c>
      <c r="D2">
        <v>0</v>
      </c>
      <c r="E2">
        <v>0.226953573809558</v>
      </c>
      <c r="F2">
        <v>0.63830692633938102</v>
      </c>
      <c r="G2">
        <v>0.68181818181818199</v>
      </c>
      <c r="H2">
        <v>0.34557969985644399</v>
      </c>
      <c r="I2" s="2">
        <f>case4_(A2,B2,C2,D2,E2,F2,G2)</f>
        <v>0</v>
      </c>
      <c r="J2" s="2">
        <f>I2-H2</f>
        <v>-0.34557969985644399</v>
      </c>
      <c r="K2" s="2">
        <f>SQRT(SUMSQ(J2:J106)/COUNT(J2:J106))</f>
        <v>0.8345886637079325</v>
      </c>
      <c r="L2" s="2">
        <f>K108</f>
        <v>0.83938282981300683</v>
      </c>
    </row>
    <row r="3" spans="1:17" x14ac:dyDescent="0.3">
      <c r="A3">
        <v>0.319090064269206</v>
      </c>
      <c r="B3">
        <v>0.24444444444444399</v>
      </c>
      <c r="C3">
        <v>-9.8646034816247605E-2</v>
      </c>
      <c r="D3">
        <v>0.111883051092778</v>
      </c>
      <c r="E3">
        <v>0.210529085909025</v>
      </c>
      <c r="F3">
        <v>0.59211305411913295</v>
      </c>
      <c r="G3">
        <v>0.68181818181818199</v>
      </c>
      <c r="H3">
        <v>0.68588473020154095</v>
      </c>
      <c r="I3" s="2">
        <f t="shared" ref="I3:I66" si="0">case4_(A3,B3,C3,D3,E3,F3,G3)</f>
        <v>0</v>
      </c>
      <c r="J3" s="2">
        <f t="shared" ref="J3:J66" si="1">I3-H3</f>
        <v>-0.68588473020154095</v>
      </c>
    </row>
    <row r="4" spans="1:17" x14ac:dyDescent="0.3">
      <c r="A4">
        <v>0.319090064269206</v>
      </c>
      <c r="B4">
        <v>0.24444444444444399</v>
      </c>
      <c r="C4">
        <v>-0.20132075218447601</v>
      </c>
      <c r="D4">
        <v>1.3435700575815701E-2</v>
      </c>
      <c r="E4">
        <v>0.21475645276029201</v>
      </c>
      <c r="F4">
        <v>0.60400252338831995</v>
      </c>
      <c r="G4">
        <v>0.68181818181818199</v>
      </c>
      <c r="H4">
        <v>0.30916076688018002</v>
      </c>
      <c r="I4" s="2">
        <f t="shared" si="0"/>
        <v>0</v>
      </c>
      <c r="J4" s="2">
        <f t="shared" si="1"/>
        <v>-0.30916076688018002</v>
      </c>
      <c r="N4">
        <v>12</v>
      </c>
      <c r="O4">
        <v>62</v>
      </c>
      <c r="P4">
        <v>0.17</v>
      </c>
      <c r="Q4">
        <v>0.23</v>
      </c>
    </row>
    <row r="5" spans="1:17" x14ac:dyDescent="0.3">
      <c r="A5">
        <v>0.319090064269206</v>
      </c>
      <c r="B5">
        <v>0.24444444444444399</v>
      </c>
      <c r="C5">
        <v>-0.170090609779326</v>
      </c>
      <c r="D5">
        <v>4.7590541753965897E-2</v>
      </c>
      <c r="E5">
        <v>0.21768115153329201</v>
      </c>
      <c r="F5">
        <v>0.61222823868738296</v>
      </c>
      <c r="G5">
        <v>0.68181818181818199</v>
      </c>
      <c r="H5">
        <v>0.68919024506987303</v>
      </c>
      <c r="I5" s="2">
        <f t="shared" si="0"/>
        <v>0</v>
      </c>
      <c r="J5" s="2">
        <f t="shared" si="1"/>
        <v>-0.68919024506987303</v>
      </c>
      <c r="N5" s="3">
        <v>12</v>
      </c>
      <c r="O5" s="3">
        <v>75</v>
      </c>
      <c r="P5">
        <v>0.15</v>
      </c>
      <c r="Q5">
        <v>0.2</v>
      </c>
    </row>
    <row r="6" spans="1:17" x14ac:dyDescent="0.3">
      <c r="A6">
        <v>0.319090064269206</v>
      </c>
      <c r="B6">
        <v>0.24444444444444399</v>
      </c>
      <c r="C6">
        <v>-0.16320644336208501</v>
      </c>
      <c r="D6">
        <v>5.4474708171206199E-2</v>
      </c>
      <c r="E6">
        <v>0.21768115153329201</v>
      </c>
      <c r="F6">
        <v>0.61222823868738296</v>
      </c>
      <c r="G6">
        <v>0.68181818181818199</v>
      </c>
      <c r="H6">
        <v>0.597234693623093</v>
      </c>
      <c r="I6" s="2">
        <f t="shared" si="0"/>
        <v>0</v>
      </c>
      <c r="J6" s="2">
        <f t="shared" si="1"/>
        <v>-0.597234693623093</v>
      </c>
      <c r="N6" s="3">
        <v>7</v>
      </c>
      <c r="O6" s="3">
        <v>28</v>
      </c>
      <c r="P6">
        <v>0.2</v>
      </c>
      <c r="Q6">
        <v>0.23</v>
      </c>
    </row>
    <row r="7" spans="1:17" x14ac:dyDescent="0.3">
      <c r="A7">
        <v>0.319090064269206</v>
      </c>
      <c r="B7">
        <v>0.24444444444444399</v>
      </c>
      <c r="C7">
        <v>-0.16433777193270899</v>
      </c>
      <c r="D7">
        <v>5.4852320675105502E-2</v>
      </c>
      <c r="E7">
        <v>0.219190092607814</v>
      </c>
      <c r="F7">
        <v>0.61647213545947699</v>
      </c>
      <c r="G7">
        <v>0.68181818181818199</v>
      </c>
      <c r="H7">
        <v>0.45864026403689501</v>
      </c>
      <c r="I7" s="2">
        <f t="shared" si="0"/>
        <v>0</v>
      </c>
      <c r="J7" s="2">
        <f t="shared" si="1"/>
        <v>-0.45864026403689501</v>
      </c>
    </row>
    <row r="8" spans="1:17" x14ac:dyDescent="0.3">
      <c r="A8">
        <v>0.319090064269206</v>
      </c>
      <c r="B8">
        <v>0.24444444444444399</v>
      </c>
      <c r="C8">
        <v>-0.12749822154812601</v>
      </c>
      <c r="D8">
        <v>8.7258231212165999E-2</v>
      </c>
      <c r="E8">
        <v>0.21475645276029201</v>
      </c>
      <c r="F8">
        <v>0.60400252338831995</v>
      </c>
      <c r="G8">
        <v>0.68181818181818199</v>
      </c>
      <c r="H8">
        <v>0.59278015004519202</v>
      </c>
      <c r="I8" s="2">
        <f t="shared" si="0"/>
        <v>0</v>
      </c>
      <c r="J8" s="2">
        <f t="shared" si="1"/>
        <v>-0.59278015004519202</v>
      </c>
    </row>
    <row r="9" spans="1:17" x14ac:dyDescent="0.3">
      <c r="A9">
        <v>0.319090064269206</v>
      </c>
      <c r="B9">
        <v>0.24444444444444399</v>
      </c>
      <c r="C9">
        <v>-0.121680608673325</v>
      </c>
      <c r="D9">
        <v>9.4544373420544101E-2</v>
      </c>
      <c r="E9">
        <v>0.21622498209386901</v>
      </c>
      <c r="F9">
        <v>0.60813276213900602</v>
      </c>
      <c r="G9">
        <v>0.68181818181818199</v>
      </c>
      <c r="H9">
        <v>0.61919843465663105</v>
      </c>
      <c r="I9" s="2">
        <f t="shared" si="0"/>
        <v>0</v>
      </c>
      <c r="J9" s="2">
        <f t="shared" si="1"/>
        <v>-0.61919843465663105</v>
      </c>
    </row>
    <row r="10" spans="1:17" x14ac:dyDescent="0.3">
      <c r="A10">
        <v>0.319090064269206</v>
      </c>
      <c r="B10">
        <v>0.24444444444444399</v>
      </c>
      <c r="C10">
        <v>-5.1603329247048198E-2</v>
      </c>
      <c r="D10">
        <v>0.15486160397445001</v>
      </c>
      <c r="E10">
        <v>0.206464933221498</v>
      </c>
      <c r="F10">
        <v>0.58068262468546405</v>
      </c>
      <c r="G10">
        <v>0.68181818181818199</v>
      </c>
      <c r="H10">
        <v>0.66611041436118701</v>
      </c>
      <c r="I10" s="2">
        <f t="shared" si="0"/>
        <v>0</v>
      </c>
      <c r="J10" s="2">
        <f t="shared" si="1"/>
        <v>-0.66611041436118701</v>
      </c>
    </row>
    <row r="11" spans="1:17" x14ac:dyDescent="0.3">
      <c r="A11">
        <v>0.319090064269206</v>
      </c>
      <c r="B11">
        <v>0.24444444444444399</v>
      </c>
      <c r="C11">
        <v>-2.6627376730046198E-2</v>
      </c>
      <c r="D11">
        <v>0.18671164564388401</v>
      </c>
      <c r="E11">
        <v>0.21333902237392999</v>
      </c>
      <c r="F11">
        <v>0.60001600042667802</v>
      </c>
      <c r="G11">
        <v>0.68181818181818199</v>
      </c>
      <c r="H11">
        <v>0.94121366214735303</v>
      </c>
      <c r="I11" s="2">
        <f t="shared" si="0"/>
        <v>0</v>
      </c>
      <c r="J11" s="2">
        <f t="shared" si="1"/>
        <v>-0.94121366214735303</v>
      </c>
    </row>
    <row r="12" spans="1:17" x14ac:dyDescent="0.3">
      <c r="A12">
        <v>0.30376590132493603</v>
      </c>
      <c r="B12">
        <v>0.46666666666666701</v>
      </c>
      <c r="C12">
        <v>-0.122571428571429</v>
      </c>
      <c r="D12">
        <v>0.16314285714285701</v>
      </c>
      <c r="E12">
        <v>0.28571428571428598</v>
      </c>
      <c r="F12">
        <v>0.61224489795918402</v>
      </c>
      <c r="G12">
        <v>0.59523809523809501</v>
      </c>
      <c r="H12">
        <v>0.81720223495706101</v>
      </c>
      <c r="I12" s="2">
        <f t="shared" si="0"/>
        <v>0</v>
      </c>
      <c r="J12" s="2">
        <f t="shared" si="1"/>
        <v>-0.81720223495706101</v>
      </c>
    </row>
    <row r="13" spans="1:17" x14ac:dyDescent="0.3">
      <c r="A13">
        <v>0.30376590132493603</v>
      </c>
      <c r="B13">
        <v>0.46666666666666701</v>
      </c>
      <c r="C13">
        <v>-0.13416009019165701</v>
      </c>
      <c r="D13">
        <v>0.14768883878241301</v>
      </c>
      <c r="E13">
        <v>0.28184892897406999</v>
      </c>
      <c r="F13">
        <v>0.60396199065872103</v>
      </c>
      <c r="G13">
        <v>0.59523809523809501</v>
      </c>
      <c r="H13">
        <v>0.89217149401673701</v>
      </c>
      <c r="I13" s="2">
        <f t="shared" si="0"/>
        <v>0</v>
      </c>
      <c r="J13" s="2">
        <f t="shared" si="1"/>
        <v>-0.89217149401673701</v>
      </c>
    </row>
    <row r="14" spans="1:17" x14ac:dyDescent="0.3">
      <c r="A14">
        <v>0.30376590132493603</v>
      </c>
      <c r="B14">
        <v>0.46666666666666701</v>
      </c>
      <c r="C14">
        <v>-8.0608793686583996E-2</v>
      </c>
      <c r="D14">
        <v>0.20124013528748599</v>
      </c>
      <c r="E14">
        <v>0.28184892897406999</v>
      </c>
      <c r="F14">
        <v>0.60396199065872103</v>
      </c>
      <c r="G14">
        <v>0.59523809523809501</v>
      </c>
      <c r="H14">
        <v>0.89060362763966805</v>
      </c>
      <c r="I14" s="2">
        <f t="shared" si="0"/>
        <v>0</v>
      </c>
      <c r="J14" s="2">
        <f t="shared" si="1"/>
        <v>-0.89060362763966805</v>
      </c>
    </row>
    <row r="15" spans="1:17" x14ac:dyDescent="0.3">
      <c r="A15">
        <v>0.30376590132493603</v>
      </c>
      <c r="B15">
        <v>0.46666666666666701</v>
      </c>
      <c r="C15">
        <v>-4.58413395553115E-2</v>
      </c>
      <c r="D15">
        <v>0.228657699698051</v>
      </c>
      <c r="E15">
        <v>0.274499039253363</v>
      </c>
      <c r="F15">
        <v>0.588212226971491</v>
      </c>
      <c r="G15">
        <v>0.59523809523809501</v>
      </c>
      <c r="H15">
        <v>0.74762093645247396</v>
      </c>
      <c r="I15" s="2">
        <f t="shared" si="0"/>
        <v>0</v>
      </c>
      <c r="J15" s="2">
        <f t="shared" si="1"/>
        <v>-0.74762093645247396</v>
      </c>
    </row>
    <row r="16" spans="1:17" x14ac:dyDescent="0.3">
      <c r="A16">
        <v>0.30376590132493603</v>
      </c>
      <c r="B16">
        <v>0.46666666666666701</v>
      </c>
      <c r="C16">
        <v>-3.35400225479143E-2</v>
      </c>
      <c r="D16">
        <v>0.248308906426156</v>
      </c>
      <c r="E16">
        <v>0.28184892897406999</v>
      </c>
      <c r="F16">
        <v>0.60396199065872103</v>
      </c>
      <c r="G16">
        <v>0.59523809523809501</v>
      </c>
      <c r="H16">
        <v>0.75317300409160803</v>
      </c>
      <c r="I16" s="2">
        <f t="shared" si="0"/>
        <v>0</v>
      </c>
      <c r="J16" s="2">
        <f t="shared" si="1"/>
        <v>-0.75317300409160803</v>
      </c>
    </row>
    <row r="17" spans="1:10" x14ac:dyDescent="0.3">
      <c r="A17">
        <v>0.40768003860124302</v>
      </c>
      <c r="B17">
        <v>0.17777777777777801</v>
      </c>
      <c r="C17">
        <v>-0.15</v>
      </c>
      <c r="D17">
        <v>8.5714285714285701E-2</v>
      </c>
      <c r="E17">
        <v>0.23571428571428599</v>
      </c>
      <c r="F17">
        <v>0.64285714285714302</v>
      </c>
      <c r="G17">
        <v>0.75</v>
      </c>
      <c r="H17">
        <v>0.31481435602958402</v>
      </c>
      <c r="I17" s="2">
        <f t="shared" si="0"/>
        <v>0</v>
      </c>
      <c r="J17" s="2">
        <f t="shared" si="1"/>
        <v>-0.31481435602958402</v>
      </c>
    </row>
    <row r="18" spans="1:10" x14ac:dyDescent="0.3">
      <c r="A18">
        <v>0.33339095296243298</v>
      </c>
      <c r="B18">
        <v>0.17777777777777801</v>
      </c>
      <c r="C18">
        <v>-0.22857142857142901</v>
      </c>
      <c r="D18">
        <v>7.14285714285714E-3</v>
      </c>
      <c r="E18">
        <v>0.23571428571428599</v>
      </c>
      <c r="F18">
        <v>0.64285714285714302</v>
      </c>
      <c r="G18">
        <v>0.75</v>
      </c>
      <c r="H18">
        <v>5.2965912629375902E-2</v>
      </c>
      <c r="I18" s="2">
        <f t="shared" si="0"/>
        <v>0</v>
      </c>
      <c r="J18" s="2">
        <f t="shared" si="1"/>
        <v>-5.2965912629375902E-2</v>
      </c>
    </row>
    <row r="19" spans="1:10" x14ac:dyDescent="0.3">
      <c r="A19">
        <v>0.40768003860124302</v>
      </c>
      <c r="B19">
        <v>0.17777777777777801</v>
      </c>
      <c r="C19">
        <v>-0.16551724137931001</v>
      </c>
      <c r="D19">
        <v>6.2068965517241399E-2</v>
      </c>
      <c r="E19">
        <v>0.22758620689655201</v>
      </c>
      <c r="F19">
        <v>0.62068965517241403</v>
      </c>
      <c r="G19">
        <v>0.75</v>
      </c>
      <c r="H19">
        <v>0.37070540980535999</v>
      </c>
      <c r="I19" s="2">
        <f t="shared" si="0"/>
        <v>0</v>
      </c>
      <c r="J19" s="2">
        <f t="shared" si="1"/>
        <v>-0.37070540980535999</v>
      </c>
    </row>
    <row r="20" spans="1:10" x14ac:dyDescent="0.3">
      <c r="A20">
        <v>0.40933589781638902</v>
      </c>
      <c r="B20">
        <v>0.17777777777777801</v>
      </c>
      <c r="C20">
        <v>-9.2857142857142805E-2</v>
      </c>
      <c r="D20">
        <v>7.1428571428571397E-2</v>
      </c>
      <c r="E20">
        <v>0.16428571428571401</v>
      </c>
      <c r="F20">
        <v>0.64285714285714302</v>
      </c>
      <c r="G20">
        <v>0.9375</v>
      </c>
      <c r="H20">
        <v>0.38842750474163901</v>
      </c>
      <c r="I20" s="2">
        <f t="shared" si="0"/>
        <v>0</v>
      </c>
      <c r="J20" s="2">
        <f t="shared" si="1"/>
        <v>-0.38842750474163901</v>
      </c>
    </row>
    <row r="21" spans="1:10" x14ac:dyDescent="0.3">
      <c r="A21">
        <v>0.40933589781638902</v>
      </c>
      <c r="B21">
        <v>0.17777777777777801</v>
      </c>
      <c r="C21">
        <v>-9.2857142857142805E-2</v>
      </c>
      <c r="D21">
        <v>7.1428571428571397E-2</v>
      </c>
      <c r="E21">
        <v>0.16428571428571401</v>
      </c>
      <c r="F21">
        <v>0.64285714285714302</v>
      </c>
      <c r="G21">
        <v>0.9375</v>
      </c>
      <c r="H21">
        <v>0.36601585771745998</v>
      </c>
      <c r="I21" s="2">
        <f t="shared" si="0"/>
        <v>0</v>
      </c>
      <c r="J21" s="2">
        <f t="shared" si="1"/>
        <v>-0.36601585771745998</v>
      </c>
    </row>
    <row r="22" spans="1:10" x14ac:dyDescent="0.3">
      <c r="A22">
        <v>0.48699700163245901</v>
      </c>
      <c r="B22">
        <v>0.17777777777777801</v>
      </c>
      <c r="C22">
        <v>-8.5106382978723402E-2</v>
      </c>
      <c r="D22">
        <v>7.8014184397163094E-2</v>
      </c>
      <c r="E22">
        <v>0.16312056737588701</v>
      </c>
      <c r="F22">
        <v>0.63829787234042601</v>
      </c>
      <c r="G22">
        <v>0.9375</v>
      </c>
      <c r="H22">
        <v>0.47806929363612199</v>
      </c>
      <c r="I22" s="2">
        <f t="shared" si="0"/>
        <v>0</v>
      </c>
      <c r="J22" s="2">
        <f t="shared" si="1"/>
        <v>-0.47806929363612199</v>
      </c>
    </row>
    <row r="23" spans="1:10" x14ac:dyDescent="0.3">
      <c r="A23">
        <v>0.48699700163245901</v>
      </c>
      <c r="B23">
        <v>0.17777777777777801</v>
      </c>
      <c r="C23">
        <v>-9.2857142857142805E-2</v>
      </c>
      <c r="D23">
        <v>7.1428571428571397E-2</v>
      </c>
      <c r="E23">
        <v>0.16428571428571401</v>
      </c>
      <c r="F23">
        <v>0.64285714285714302</v>
      </c>
      <c r="G23">
        <v>0.9375</v>
      </c>
      <c r="H23">
        <v>0.41826717782997502</v>
      </c>
      <c r="I23" s="2">
        <f t="shared" si="0"/>
        <v>0</v>
      </c>
      <c r="J23" s="2">
        <f t="shared" si="1"/>
        <v>-0.41826717782997502</v>
      </c>
    </row>
    <row r="24" spans="1:10" x14ac:dyDescent="0.3">
      <c r="A24">
        <v>0.34186098845408902</v>
      </c>
      <c r="B24">
        <v>0.17777777777777801</v>
      </c>
      <c r="C24">
        <v>-9.2857142857142805E-2</v>
      </c>
      <c r="D24">
        <v>7.1428571428571397E-2</v>
      </c>
      <c r="E24">
        <v>0.16428571428571401</v>
      </c>
      <c r="F24">
        <v>0.64285714285714302</v>
      </c>
      <c r="G24">
        <v>0.9375</v>
      </c>
      <c r="H24">
        <v>0.43121136632172602</v>
      </c>
      <c r="I24" s="2">
        <f t="shared" si="0"/>
        <v>0</v>
      </c>
      <c r="J24" s="2">
        <f t="shared" si="1"/>
        <v>-0.43121136632172602</v>
      </c>
    </row>
    <row r="25" spans="1:10" x14ac:dyDescent="0.3">
      <c r="A25">
        <v>0.48626604750336599</v>
      </c>
      <c r="B25">
        <v>0.17777777777777801</v>
      </c>
      <c r="C25">
        <v>-0.10638297872340401</v>
      </c>
      <c r="D25">
        <v>5.6737588652482303E-2</v>
      </c>
      <c r="E25">
        <v>0.16312056737588701</v>
      </c>
      <c r="F25">
        <v>0.63829787234042601</v>
      </c>
      <c r="G25">
        <v>0.9375</v>
      </c>
      <c r="H25">
        <v>0.38270706858494802</v>
      </c>
      <c r="I25" s="2">
        <f t="shared" si="0"/>
        <v>0</v>
      </c>
      <c r="J25" s="2">
        <f t="shared" si="1"/>
        <v>-0.38270706858494802</v>
      </c>
    </row>
    <row r="26" spans="1:10" x14ac:dyDescent="0.3">
      <c r="A26">
        <v>0.48626604750336599</v>
      </c>
      <c r="B26">
        <v>0.17777777777777801</v>
      </c>
      <c r="C26">
        <v>-7.09219858156028E-2</v>
      </c>
      <c r="D26">
        <v>9.2198581560283696E-2</v>
      </c>
      <c r="E26">
        <v>0.16312056737588701</v>
      </c>
      <c r="F26">
        <v>0.63829787234042601</v>
      </c>
      <c r="G26">
        <v>0.9375</v>
      </c>
      <c r="H26">
        <v>0.28982339591662698</v>
      </c>
      <c r="I26" s="2">
        <f t="shared" si="0"/>
        <v>0</v>
      </c>
      <c r="J26" s="2">
        <f t="shared" si="1"/>
        <v>-0.28982339591662698</v>
      </c>
    </row>
    <row r="27" spans="1:10" x14ac:dyDescent="0.3">
      <c r="A27">
        <v>0.31078053142483802</v>
      </c>
      <c r="B27">
        <v>0.33108108108108097</v>
      </c>
      <c r="C27">
        <v>-0.27</v>
      </c>
      <c r="D27">
        <v>0.23</v>
      </c>
      <c r="E27">
        <v>0.5</v>
      </c>
      <c r="F27">
        <v>1.48</v>
      </c>
      <c r="G27">
        <v>1.03061224489796</v>
      </c>
      <c r="H27">
        <v>1.1064866848597199</v>
      </c>
      <c r="I27" s="2">
        <f t="shared" si="0"/>
        <v>0</v>
      </c>
      <c r="J27" s="2">
        <f t="shared" si="1"/>
        <v>-1.1064866848597199</v>
      </c>
    </row>
    <row r="28" spans="1:10" x14ac:dyDescent="0.3">
      <c r="A28">
        <v>0.31078053142483802</v>
      </c>
      <c r="B28">
        <v>0.33108108108108097</v>
      </c>
      <c r="C28">
        <v>-0.5</v>
      </c>
      <c r="D28">
        <v>0</v>
      </c>
      <c r="E28">
        <v>0.5</v>
      </c>
      <c r="F28">
        <v>1.48</v>
      </c>
      <c r="G28">
        <v>1.03061224489796</v>
      </c>
      <c r="H28">
        <v>0.83130268639148697</v>
      </c>
      <c r="I28" s="2">
        <f t="shared" si="0"/>
        <v>0</v>
      </c>
      <c r="J28" s="2">
        <f t="shared" si="1"/>
        <v>-0.83130268639148697</v>
      </c>
    </row>
    <row r="29" spans="1:10" x14ac:dyDescent="0.3">
      <c r="A29">
        <v>0.49041819659053498</v>
      </c>
      <c r="B29">
        <v>0.8</v>
      </c>
      <c r="C29">
        <v>-0.125</v>
      </c>
      <c r="D29">
        <v>0</v>
      </c>
      <c r="E29">
        <v>0.125</v>
      </c>
      <c r="F29">
        <v>0.83333333333333304</v>
      </c>
      <c r="G29">
        <v>0.125</v>
      </c>
      <c r="H29">
        <v>0.81491856735449197</v>
      </c>
      <c r="I29" s="2">
        <f t="shared" si="0"/>
        <v>0</v>
      </c>
      <c r="J29" s="2">
        <f t="shared" si="1"/>
        <v>-0.81491856735449197</v>
      </c>
    </row>
    <row r="30" spans="1:10" x14ac:dyDescent="0.3">
      <c r="A30">
        <v>0.49041819659053498</v>
      </c>
      <c r="B30">
        <v>0.8</v>
      </c>
      <c r="C30">
        <v>-4.1666666666666699E-2</v>
      </c>
      <c r="D30">
        <v>8.3333333333333301E-2</v>
      </c>
      <c r="E30">
        <v>0.125</v>
      </c>
      <c r="F30">
        <v>0.83333333333333304</v>
      </c>
      <c r="G30">
        <v>0.125</v>
      </c>
      <c r="H30">
        <v>0.75212169408657004</v>
      </c>
      <c r="I30" s="2">
        <f t="shared" si="0"/>
        <v>0</v>
      </c>
      <c r="J30" s="2">
        <f t="shared" si="1"/>
        <v>-0.75212169408657004</v>
      </c>
    </row>
    <row r="31" spans="1:10" x14ac:dyDescent="0.3">
      <c r="A31">
        <v>0.27511404478700902</v>
      </c>
      <c r="B31">
        <v>0.37853107344632803</v>
      </c>
      <c r="C31">
        <v>-0.32500000000000001</v>
      </c>
      <c r="D31">
        <v>0.13750000000000001</v>
      </c>
      <c r="E31">
        <v>0.46250000000000002</v>
      </c>
      <c r="F31">
        <v>0.73750000000000004</v>
      </c>
      <c r="G31">
        <v>1.4029850746268699</v>
      </c>
      <c r="H31">
        <v>0.43607041045647899</v>
      </c>
      <c r="I31" s="2">
        <f t="shared" si="0"/>
        <v>0</v>
      </c>
      <c r="J31" s="2">
        <f t="shared" si="1"/>
        <v>-0.43607041045647899</v>
      </c>
    </row>
    <row r="32" spans="1:10" x14ac:dyDescent="0.3">
      <c r="A32">
        <v>0.27511404478700902</v>
      </c>
      <c r="B32">
        <v>0.37853107344632803</v>
      </c>
      <c r="C32">
        <v>-4.1666666666666701E-3</v>
      </c>
      <c r="D32">
        <v>0.45833333333333298</v>
      </c>
      <c r="E32">
        <v>0.46250000000000002</v>
      </c>
      <c r="F32">
        <v>0.73750000000000004</v>
      </c>
      <c r="G32">
        <v>1.4029850746268699</v>
      </c>
      <c r="H32">
        <v>0.90332703290168004</v>
      </c>
      <c r="I32" s="2">
        <f t="shared" si="0"/>
        <v>0</v>
      </c>
      <c r="J32" s="2">
        <f t="shared" si="1"/>
        <v>-0.90332703290168004</v>
      </c>
    </row>
    <row r="33" spans="1:10" x14ac:dyDescent="0.3">
      <c r="A33">
        <v>0.116617219019459</v>
      </c>
      <c r="B33">
        <v>0.38961038961039002</v>
      </c>
      <c r="C33">
        <v>-0.104166666666667</v>
      </c>
      <c r="D33">
        <v>4.1666666666666699E-2</v>
      </c>
      <c r="E33">
        <v>0.14583333333333301</v>
      </c>
      <c r="F33">
        <v>0.32083333333333303</v>
      </c>
      <c r="G33">
        <v>0.86666666666666703</v>
      </c>
      <c r="H33">
        <v>0.98309546546004301</v>
      </c>
      <c r="I33" s="2">
        <f t="shared" si="0"/>
        <v>0</v>
      </c>
      <c r="J33" s="2">
        <f t="shared" si="1"/>
        <v>-0.98309546546004301</v>
      </c>
    </row>
    <row r="34" spans="1:10" x14ac:dyDescent="0.3">
      <c r="A34">
        <v>0.44939146609105401</v>
      </c>
      <c r="B34">
        <v>0.48780487804877998</v>
      </c>
      <c r="C34">
        <v>-0.3</v>
      </c>
      <c r="D34">
        <v>8.3333333333333402E-3</v>
      </c>
      <c r="E34">
        <v>0.30833333333333302</v>
      </c>
      <c r="F34">
        <v>0.51249999999999996</v>
      </c>
      <c r="G34">
        <v>1.8333333333333299</v>
      </c>
      <c r="H34">
        <v>0.43310852639518099</v>
      </c>
      <c r="I34" s="2">
        <f t="shared" si="0"/>
        <v>0</v>
      </c>
      <c r="J34" s="2">
        <f t="shared" si="1"/>
        <v>-0.43310852639518099</v>
      </c>
    </row>
    <row r="35" spans="1:10" x14ac:dyDescent="0.3">
      <c r="A35">
        <v>0.44939146609105401</v>
      </c>
      <c r="B35">
        <v>0.48780487804877998</v>
      </c>
      <c r="C35">
        <v>-0.24583333333333299</v>
      </c>
      <c r="D35">
        <v>6.25E-2</v>
      </c>
      <c r="E35">
        <v>0.30833333333333302</v>
      </c>
      <c r="F35">
        <v>0.51249999999999996</v>
      </c>
      <c r="G35">
        <v>1.8333333333333299</v>
      </c>
      <c r="H35">
        <v>0.54613125346785896</v>
      </c>
      <c r="I35" s="2">
        <f t="shared" si="0"/>
        <v>0</v>
      </c>
      <c r="J35" s="2">
        <f t="shared" si="1"/>
        <v>-0.54613125346785896</v>
      </c>
    </row>
    <row r="36" spans="1:10" x14ac:dyDescent="0.3">
      <c r="A36">
        <v>0.44939146609105401</v>
      </c>
      <c r="B36">
        <v>0.48780487804877998</v>
      </c>
      <c r="C36">
        <v>-0.15833333333333299</v>
      </c>
      <c r="D36">
        <v>0.15</v>
      </c>
      <c r="E36">
        <v>0.30833333333333302</v>
      </c>
      <c r="F36">
        <v>0.51249999999999996</v>
      </c>
      <c r="G36">
        <v>1.8333333333333299</v>
      </c>
      <c r="H36">
        <v>0.705091283869969</v>
      </c>
      <c r="I36" s="2">
        <f t="shared" si="0"/>
        <v>0</v>
      </c>
      <c r="J36" s="2">
        <f t="shared" si="1"/>
        <v>-0.705091283869969</v>
      </c>
    </row>
    <row r="37" spans="1:10" x14ac:dyDescent="0.3">
      <c r="A37">
        <v>0.44939146609105401</v>
      </c>
      <c r="B37">
        <v>0.48780487804877998</v>
      </c>
      <c r="C37">
        <v>-2.9166666666666698E-2</v>
      </c>
      <c r="D37">
        <v>0.27916666666666701</v>
      </c>
      <c r="E37">
        <v>0.30833333333333302</v>
      </c>
      <c r="F37">
        <v>0.51249999999999996</v>
      </c>
      <c r="G37">
        <v>1.8333333333333299</v>
      </c>
      <c r="H37">
        <v>0.64132427377983403</v>
      </c>
      <c r="I37" s="2">
        <f t="shared" si="0"/>
        <v>0</v>
      </c>
      <c r="J37" s="2">
        <f t="shared" si="1"/>
        <v>-0.64132427377983403</v>
      </c>
    </row>
    <row r="38" spans="1:10" x14ac:dyDescent="0.3">
      <c r="A38">
        <v>0.44939146609105401</v>
      </c>
      <c r="B38">
        <v>0.48780487804877998</v>
      </c>
      <c r="C38">
        <v>-7.9166666666666705E-2</v>
      </c>
      <c r="D38">
        <v>0.22916666666666699</v>
      </c>
      <c r="E38">
        <v>0.30833333333333302</v>
      </c>
      <c r="F38">
        <v>0.51249999999999996</v>
      </c>
      <c r="G38">
        <v>1.8333333333333299</v>
      </c>
      <c r="H38">
        <v>0.79436335027041105</v>
      </c>
      <c r="I38" s="2">
        <f t="shared" si="0"/>
        <v>0</v>
      </c>
      <c r="J38" s="2">
        <f t="shared" si="1"/>
        <v>-0.79436335027041105</v>
      </c>
    </row>
    <row r="39" spans="1:10" x14ac:dyDescent="0.3">
      <c r="A39">
        <v>0.44558618529625499</v>
      </c>
      <c r="B39">
        <v>0.85</v>
      </c>
      <c r="C39">
        <v>-0.26500000000000001</v>
      </c>
      <c r="D39">
        <v>0.33500000000000002</v>
      </c>
      <c r="E39">
        <v>0.6</v>
      </c>
      <c r="F39">
        <v>1</v>
      </c>
      <c r="G39">
        <v>8.8235294117647106E-2</v>
      </c>
      <c r="H39">
        <v>0.836809959829106</v>
      </c>
      <c r="I39" s="2">
        <f t="shared" si="0"/>
        <v>0</v>
      </c>
      <c r="J39" s="2">
        <f t="shared" si="1"/>
        <v>-0.836809959829106</v>
      </c>
    </row>
    <row r="40" spans="1:10" x14ac:dyDescent="0.3">
      <c r="A40">
        <v>0.44558618529625499</v>
      </c>
      <c r="B40">
        <v>0.85</v>
      </c>
      <c r="C40">
        <v>-0.55000000000000004</v>
      </c>
      <c r="D40">
        <v>0.05</v>
      </c>
      <c r="E40">
        <v>0.6</v>
      </c>
      <c r="F40">
        <v>1</v>
      </c>
      <c r="G40">
        <v>8.8235294117647106E-2</v>
      </c>
      <c r="H40">
        <v>0.89035209678299398</v>
      </c>
      <c r="I40" s="2">
        <f t="shared" si="0"/>
        <v>0</v>
      </c>
      <c r="J40" s="2">
        <f t="shared" si="1"/>
        <v>-0.89035209678299398</v>
      </c>
    </row>
    <row r="41" spans="1:10" x14ac:dyDescent="0.3">
      <c r="A41">
        <v>0.44558618529625499</v>
      </c>
      <c r="B41">
        <v>0.85</v>
      </c>
      <c r="C41">
        <v>-0.6</v>
      </c>
      <c r="D41">
        <v>0</v>
      </c>
      <c r="E41">
        <v>0.6</v>
      </c>
      <c r="F41">
        <v>1</v>
      </c>
      <c r="G41">
        <v>8.8235294117647106E-2</v>
      </c>
      <c r="H41">
        <v>0.90938417301906205</v>
      </c>
      <c r="I41" s="2">
        <f t="shared" si="0"/>
        <v>0</v>
      </c>
      <c r="J41" s="2">
        <f t="shared" si="1"/>
        <v>-0.90938417301906205</v>
      </c>
    </row>
    <row r="42" spans="1:10" x14ac:dyDescent="0.3">
      <c r="A42">
        <v>0.44558618529625499</v>
      </c>
      <c r="B42">
        <v>0.85</v>
      </c>
      <c r="C42">
        <v>-0.115</v>
      </c>
      <c r="D42">
        <v>0.33500000000000002</v>
      </c>
      <c r="E42">
        <v>0.45</v>
      </c>
      <c r="F42">
        <v>1</v>
      </c>
      <c r="G42">
        <v>8.8235294117647106E-2</v>
      </c>
      <c r="H42">
        <v>0.78730915064526796</v>
      </c>
      <c r="I42" s="2">
        <f t="shared" si="0"/>
        <v>0</v>
      </c>
      <c r="J42" s="2">
        <f t="shared" si="1"/>
        <v>-0.78730915064526796</v>
      </c>
    </row>
    <row r="43" spans="1:10" x14ac:dyDescent="0.3">
      <c r="A43">
        <v>0.44558618529625499</v>
      </c>
      <c r="B43">
        <v>0.85</v>
      </c>
      <c r="C43">
        <v>-0.4</v>
      </c>
      <c r="D43">
        <v>0.05</v>
      </c>
      <c r="E43">
        <v>0.45</v>
      </c>
      <c r="F43">
        <v>1</v>
      </c>
      <c r="G43">
        <v>8.8235294117647106E-2</v>
      </c>
      <c r="H43">
        <v>0.75764210065808302</v>
      </c>
      <c r="I43" s="2">
        <f t="shared" si="0"/>
        <v>0</v>
      </c>
      <c r="J43" s="2">
        <f t="shared" si="1"/>
        <v>-0.75764210065808302</v>
      </c>
    </row>
    <row r="44" spans="1:10" x14ac:dyDescent="0.3">
      <c r="A44">
        <v>0.44558618529625499</v>
      </c>
      <c r="B44">
        <v>0.85</v>
      </c>
      <c r="C44">
        <v>-0.45</v>
      </c>
      <c r="D44">
        <v>0</v>
      </c>
      <c r="E44">
        <v>0.45</v>
      </c>
      <c r="F44">
        <v>1</v>
      </c>
      <c r="G44">
        <v>8.8235294117647106E-2</v>
      </c>
      <c r="H44">
        <v>1.1093107112096801</v>
      </c>
      <c r="I44" s="2">
        <f t="shared" si="0"/>
        <v>0</v>
      </c>
      <c r="J44" s="2">
        <f t="shared" si="1"/>
        <v>-1.1093107112096801</v>
      </c>
    </row>
    <row r="45" spans="1:10" x14ac:dyDescent="0.3">
      <c r="A45">
        <v>0.44558618529625499</v>
      </c>
      <c r="B45">
        <v>0.7</v>
      </c>
      <c r="C45">
        <v>-0.115</v>
      </c>
      <c r="D45">
        <v>0.33500000000000002</v>
      </c>
      <c r="E45">
        <v>0.45</v>
      </c>
      <c r="F45">
        <v>1</v>
      </c>
      <c r="G45">
        <v>0.214285714285714</v>
      </c>
      <c r="H45">
        <v>0.79429892045599704</v>
      </c>
      <c r="I45" s="2">
        <f t="shared" si="0"/>
        <v>0</v>
      </c>
      <c r="J45" s="2">
        <f t="shared" si="1"/>
        <v>-0.79429892045599704</v>
      </c>
    </row>
    <row r="46" spans="1:10" x14ac:dyDescent="0.3">
      <c r="A46">
        <v>0.44558618529625499</v>
      </c>
      <c r="B46">
        <v>0.7</v>
      </c>
      <c r="C46">
        <v>-0.4</v>
      </c>
      <c r="D46">
        <v>0.05</v>
      </c>
      <c r="E46">
        <v>0.45</v>
      </c>
      <c r="F46">
        <v>1</v>
      </c>
      <c r="G46">
        <v>0.214285714285714</v>
      </c>
      <c r="H46">
        <v>0.73815620144868599</v>
      </c>
      <c r="I46" s="2">
        <f t="shared" si="0"/>
        <v>0</v>
      </c>
      <c r="J46" s="2">
        <f t="shared" si="1"/>
        <v>-0.73815620144868599</v>
      </c>
    </row>
    <row r="47" spans="1:10" x14ac:dyDescent="0.3">
      <c r="A47">
        <v>0.44558618529625499</v>
      </c>
      <c r="B47">
        <v>0.7</v>
      </c>
      <c r="C47">
        <v>-0.45</v>
      </c>
      <c r="D47">
        <v>0</v>
      </c>
      <c r="E47">
        <v>0.45</v>
      </c>
      <c r="F47">
        <v>1</v>
      </c>
      <c r="G47">
        <v>0.214285714285714</v>
      </c>
      <c r="H47">
        <v>1.0595325882728699</v>
      </c>
      <c r="I47" s="2">
        <f t="shared" si="0"/>
        <v>0</v>
      </c>
      <c r="J47" s="2">
        <f t="shared" si="1"/>
        <v>-1.0595325882728699</v>
      </c>
    </row>
    <row r="48" spans="1:10" x14ac:dyDescent="0.3">
      <c r="A48">
        <v>0.44558618529625499</v>
      </c>
      <c r="B48">
        <v>0.55000000000000004</v>
      </c>
      <c r="C48">
        <v>-0.26500000000000001</v>
      </c>
      <c r="D48">
        <v>0.33500000000000002</v>
      </c>
      <c r="E48">
        <v>0.6</v>
      </c>
      <c r="F48">
        <v>1</v>
      </c>
      <c r="G48">
        <v>0.40909090909090901</v>
      </c>
      <c r="H48">
        <v>0.69228528789956001</v>
      </c>
      <c r="I48" s="2">
        <f t="shared" si="0"/>
        <v>0</v>
      </c>
      <c r="J48" s="2">
        <f t="shared" si="1"/>
        <v>-0.69228528789956001</v>
      </c>
    </row>
    <row r="49" spans="1:10" x14ac:dyDescent="0.3">
      <c r="A49">
        <v>0.44558618529625499</v>
      </c>
      <c r="B49">
        <v>0.55000000000000004</v>
      </c>
      <c r="C49">
        <v>-0.41499999999999998</v>
      </c>
      <c r="D49">
        <v>0.185</v>
      </c>
      <c r="E49">
        <v>0.6</v>
      </c>
      <c r="F49">
        <v>1</v>
      </c>
      <c r="G49">
        <v>0.40909090909090901</v>
      </c>
      <c r="H49">
        <v>0.945079493964053</v>
      </c>
      <c r="I49" s="2">
        <f t="shared" si="0"/>
        <v>0</v>
      </c>
      <c r="J49" s="2">
        <f t="shared" si="1"/>
        <v>-0.945079493964053</v>
      </c>
    </row>
    <row r="50" spans="1:10" x14ac:dyDescent="0.3">
      <c r="A50">
        <v>0.44558618529625499</v>
      </c>
      <c r="B50">
        <v>0.55000000000000004</v>
      </c>
      <c r="C50">
        <v>-0.6</v>
      </c>
      <c r="D50">
        <v>0</v>
      </c>
      <c r="E50">
        <v>0.6</v>
      </c>
      <c r="F50">
        <v>1</v>
      </c>
      <c r="G50">
        <v>0.40909090909090901</v>
      </c>
      <c r="H50">
        <v>0.42633077578586198</v>
      </c>
      <c r="I50" s="2">
        <f t="shared" si="0"/>
        <v>0</v>
      </c>
      <c r="J50" s="2">
        <f t="shared" si="1"/>
        <v>-0.42633077578586198</v>
      </c>
    </row>
    <row r="51" spans="1:10" x14ac:dyDescent="0.3">
      <c r="A51">
        <v>0.44558618529625499</v>
      </c>
      <c r="B51">
        <v>0.55000000000000004</v>
      </c>
      <c r="C51">
        <v>-0.26500000000000001</v>
      </c>
      <c r="D51">
        <v>0.185</v>
      </c>
      <c r="E51">
        <v>0.45</v>
      </c>
      <c r="F51">
        <v>1</v>
      </c>
      <c r="G51">
        <v>0.40909090909090901</v>
      </c>
      <c r="H51">
        <v>0.779650412236505</v>
      </c>
      <c r="I51" s="2">
        <f t="shared" si="0"/>
        <v>0</v>
      </c>
      <c r="J51" s="2">
        <f t="shared" si="1"/>
        <v>-0.779650412236505</v>
      </c>
    </row>
    <row r="52" spans="1:10" x14ac:dyDescent="0.3">
      <c r="A52">
        <v>0.44558618529625499</v>
      </c>
      <c r="B52">
        <v>0.55000000000000004</v>
      </c>
      <c r="C52">
        <v>-0.4</v>
      </c>
      <c r="D52">
        <v>0.05</v>
      </c>
      <c r="E52">
        <v>0.45</v>
      </c>
      <c r="F52">
        <v>1</v>
      </c>
      <c r="G52">
        <v>0.40909090909090901</v>
      </c>
      <c r="H52">
        <v>0.48315760997935597</v>
      </c>
      <c r="I52" s="2">
        <f t="shared" si="0"/>
        <v>0</v>
      </c>
      <c r="J52" s="2">
        <f t="shared" si="1"/>
        <v>-0.48315760997935597</v>
      </c>
    </row>
    <row r="53" spans="1:10" x14ac:dyDescent="0.3">
      <c r="A53">
        <v>0.44558618529625499</v>
      </c>
      <c r="B53">
        <v>0.55000000000000004</v>
      </c>
      <c r="C53">
        <v>-0.45</v>
      </c>
      <c r="D53">
        <v>0</v>
      </c>
      <c r="E53">
        <v>0.45</v>
      </c>
      <c r="F53">
        <v>1</v>
      </c>
      <c r="G53">
        <v>0.40909090909090901</v>
      </c>
      <c r="H53">
        <v>0.45047446723447698</v>
      </c>
      <c r="I53" s="2">
        <f t="shared" si="0"/>
        <v>0</v>
      </c>
      <c r="J53" s="2">
        <f t="shared" si="1"/>
        <v>-0.45047446723447698</v>
      </c>
    </row>
    <row r="54" spans="1:10" x14ac:dyDescent="0.3">
      <c r="A54">
        <v>0.44558618529625499</v>
      </c>
      <c r="B54">
        <v>0.55000000000000004</v>
      </c>
      <c r="C54">
        <v>-0.115</v>
      </c>
      <c r="D54">
        <v>0.185</v>
      </c>
      <c r="E54">
        <v>0.3</v>
      </c>
      <c r="F54">
        <v>1</v>
      </c>
      <c r="G54">
        <v>0.40909090909090901</v>
      </c>
      <c r="H54">
        <v>1.03603750474964</v>
      </c>
      <c r="I54" s="2">
        <f t="shared" si="0"/>
        <v>0</v>
      </c>
      <c r="J54" s="2">
        <f t="shared" si="1"/>
        <v>-1.03603750474964</v>
      </c>
    </row>
    <row r="55" spans="1:10" x14ac:dyDescent="0.3">
      <c r="A55">
        <v>0.44558618529625499</v>
      </c>
      <c r="B55">
        <v>0.55000000000000004</v>
      </c>
      <c r="C55">
        <v>-0.25</v>
      </c>
      <c r="D55">
        <v>0.05</v>
      </c>
      <c r="E55">
        <v>0.3</v>
      </c>
      <c r="F55">
        <v>1</v>
      </c>
      <c r="G55">
        <v>0.40909090909090901</v>
      </c>
      <c r="H55">
        <v>0.88006143476026399</v>
      </c>
      <c r="I55" s="2">
        <f t="shared" si="0"/>
        <v>0</v>
      </c>
      <c r="J55" s="2">
        <f t="shared" si="1"/>
        <v>-0.88006143476026399</v>
      </c>
    </row>
    <row r="56" spans="1:10" x14ac:dyDescent="0.3">
      <c r="A56">
        <v>0.51712291666666699</v>
      </c>
      <c r="B56">
        <v>0.74166666666666703</v>
      </c>
      <c r="C56">
        <v>-0.16111111111111101</v>
      </c>
      <c r="D56">
        <v>0.16111111111111101</v>
      </c>
      <c r="E56">
        <v>0.32222222222222202</v>
      </c>
      <c r="F56">
        <v>0.66666666666666696</v>
      </c>
      <c r="G56">
        <v>0.16853932584269599</v>
      </c>
      <c r="H56">
        <v>1.5557537171840701</v>
      </c>
      <c r="I56" s="2">
        <f t="shared" si="0"/>
        <v>0</v>
      </c>
      <c r="J56" s="2">
        <f t="shared" si="1"/>
        <v>-1.5557537171840701</v>
      </c>
    </row>
    <row r="57" spans="1:10" x14ac:dyDescent="0.3">
      <c r="A57">
        <v>0.51712291666666699</v>
      </c>
      <c r="B57">
        <v>0.74166666666666703</v>
      </c>
      <c r="C57">
        <v>-0.32222222222222202</v>
      </c>
      <c r="D57">
        <v>0</v>
      </c>
      <c r="E57">
        <v>0.32222222222222202</v>
      </c>
      <c r="F57">
        <v>0.66666666666666696</v>
      </c>
      <c r="G57">
        <v>0.16853932584269599</v>
      </c>
      <c r="H57">
        <v>1.12455636671528</v>
      </c>
      <c r="I57" s="2">
        <f t="shared" si="0"/>
        <v>0</v>
      </c>
      <c r="J57" s="2">
        <f t="shared" si="1"/>
        <v>-1.12455636671528</v>
      </c>
    </row>
    <row r="58" spans="1:10" x14ac:dyDescent="0.3">
      <c r="A58">
        <v>0.44558618529625499</v>
      </c>
      <c r="B58">
        <v>0.4</v>
      </c>
      <c r="C58">
        <v>-0.12</v>
      </c>
      <c r="D58">
        <v>0.33</v>
      </c>
      <c r="E58">
        <v>0.45</v>
      </c>
      <c r="F58">
        <v>1</v>
      </c>
      <c r="G58">
        <v>0.75</v>
      </c>
      <c r="H58">
        <v>0.46153405469732101</v>
      </c>
      <c r="I58" s="2">
        <f t="shared" si="0"/>
        <v>0</v>
      </c>
      <c r="J58" s="2">
        <f t="shared" si="1"/>
        <v>-0.46153405469732101</v>
      </c>
    </row>
    <row r="59" spans="1:10" x14ac:dyDescent="0.3">
      <c r="A59">
        <v>0.44558618529625499</v>
      </c>
      <c r="B59">
        <v>0.4</v>
      </c>
      <c r="C59">
        <v>-0.26</v>
      </c>
      <c r="D59">
        <v>0.19</v>
      </c>
      <c r="E59">
        <v>0.45</v>
      </c>
      <c r="F59">
        <v>1</v>
      </c>
      <c r="G59">
        <v>0.75</v>
      </c>
      <c r="H59">
        <v>0.489872560802386</v>
      </c>
      <c r="I59" s="2">
        <f t="shared" si="0"/>
        <v>0</v>
      </c>
      <c r="J59" s="2">
        <f t="shared" si="1"/>
        <v>-0.489872560802386</v>
      </c>
    </row>
    <row r="60" spans="1:10" x14ac:dyDescent="0.3">
      <c r="A60">
        <v>0.44558618529625499</v>
      </c>
      <c r="B60">
        <v>0.4</v>
      </c>
      <c r="C60">
        <v>-0.45</v>
      </c>
      <c r="D60">
        <v>0</v>
      </c>
      <c r="E60">
        <v>0.45</v>
      </c>
      <c r="F60">
        <v>1</v>
      </c>
      <c r="G60">
        <v>0.75</v>
      </c>
      <c r="H60">
        <v>3.7866807319514701E-3</v>
      </c>
      <c r="I60" s="2">
        <f t="shared" si="0"/>
        <v>0</v>
      </c>
      <c r="J60" s="2">
        <f t="shared" si="1"/>
        <v>-3.7866807319514701E-3</v>
      </c>
    </row>
    <row r="61" spans="1:10" x14ac:dyDescent="0.3">
      <c r="A61">
        <v>0.31078053142483802</v>
      </c>
      <c r="B61">
        <v>0.33108108108108097</v>
      </c>
      <c r="C61">
        <v>-0.17</v>
      </c>
      <c r="D61">
        <v>0.33</v>
      </c>
      <c r="E61">
        <v>0.5</v>
      </c>
      <c r="F61">
        <v>1.48</v>
      </c>
      <c r="G61">
        <v>1.0204081632653099</v>
      </c>
      <c r="H61">
        <v>1.3629586049886599</v>
      </c>
      <c r="I61" s="2">
        <f t="shared" si="0"/>
        <v>0</v>
      </c>
      <c r="J61" s="2">
        <f t="shared" si="1"/>
        <v>-1.3629586049886599</v>
      </c>
    </row>
    <row r="62" spans="1:10" x14ac:dyDescent="0.3">
      <c r="A62">
        <v>0.31078053142483802</v>
      </c>
      <c r="B62">
        <v>0.33108108108108097</v>
      </c>
      <c r="C62">
        <v>-0.01</v>
      </c>
      <c r="D62">
        <v>0.24</v>
      </c>
      <c r="E62">
        <v>0.25</v>
      </c>
      <c r="F62">
        <v>1.48</v>
      </c>
      <c r="G62">
        <v>1.0204081632653099</v>
      </c>
      <c r="H62">
        <v>1.2481159830058099</v>
      </c>
      <c r="I62" s="2">
        <f t="shared" si="0"/>
        <v>0</v>
      </c>
      <c r="J62" s="2">
        <f t="shared" si="1"/>
        <v>-1.2481159830058099</v>
      </c>
    </row>
    <row r="63" spans="1:10" x14ac:dyDescent="0.3">
      <c r="A63">
        <v>0.31078053142483802</v>
      </c>
      <c r="B63">
        <v>0.33108108108108097</v>
      </c>
      <c r="C63">
        <v>-0.25</v>
      </c>
      <c r="D63">
        <v>0</v>
      </c>
      <c r="E63">
        <v>0.25</v>
      </c>
      <c r="F63">
        <v>1.48</v>
      </c>
      <c r="G63">
        <v>1.0204081632653099</v>
      </c>
      <c r="H63">
        <v>1.1302101476851101</v>
      </c>
      <c r="I63" s="2">
        <f t="shared" si="0"/>
        <v>0</v>
      </c>
      <c r="J63" s="2">
        <f t="shared" si="1"/>
        <v>-1.1302101476851101</v>
      </c>
    </row>
    <row r="64" spans="1:10" x14ac:dyDescent="0.3">
      <c r="A64">
        <v>0.59769387755101999</v>
      </c>
      <c r="B64">
        <v>1</v>
      </c>
      <c r="C64">
        <v>-7.0000000000000007E-2</v>
      </c>
      <c r="D64">
        <v>1.01</v>
      </c>
      <c r="E64">
        <v>1.07</v>
      </c>
      <c r="F64">
        <v>0.49</v>
      </c>
      <c r="G64">
        <v>0.20408163265306101</v>
      </c>
      <c r="H64">
        <v>1.3114087729674799</v>
      </c>
      <c r="I64" s="2">
        <f t="shared" si="0"/>
        <v>0</v>
      </c>
      <c r="J64" s="2">
        <f t="shared" si="1"/>
        <v>-1.3114087729674799</v>
      </c>
    </row>
    <row r="65" spans="1:10" x14ac:dyDescent="0.3">
      <c r="A65">
        <v>0.59769387755101999</v>
      </c>
      <c r="B65">
        <v>1</v>
      </c>
      <c r="C65">
        <v>-0.25</v>
      </c>
      <c r="D65">
        <v>1.01</v>
      </c>
      <c r="E65">
        <v>1.25</v>
      </c>
      <c r="F65">
        <v>0.49</v>
      </c>
      <c r="G65">
        <v>0.20408163265306101</v>
      </c>
      <c r="H65">
        <v>1.3114979550855099</v>
      </c>
      <c r="I65" s="2">
        <f t="shared" si="0"/>
        <v>0</v>
      </c>
      <c r="J65" s="2">
        <f t="shared" si="1"/>
        <v>-1.3114979550855099</v>
      </c>
    </row>
    <row r="66" spans="1:10" x14ac:dyDescent="0.3">
      <c r="A66">
        <v>0.59769387755101999</v>
      </c>
      <c r="B66">
        <v>1</v>
      </c>
      <c r="C66">
        <v>-0.5</v>
      </c>
      <c r="D66">
        <v>1.01</v>
      </c>
      <c r="E66">
        <v>1.5</v>
      </c>
      <c r="F66">
        <v>0.49</v>
      </c>
      <c r="G66">
        <v>0.20408163265306101</v>
      </c>
      <c r="H66">
        <v>1.10764701581226</v>
      </c>
      <c r="I66" s="2">
        <f t="shared" si="0"/>
        <v>0</v>
      </c>
      <c r="J66" s="2">
        <f t="shared" si="1"/>
        <v>-1.10764701581226</v>
      </c>
    </row>
    <row r="67" spans="1:10" x14ac:dyDescent="0.3">
      <c r="A67">
        <v>0.51712291666666699</v>
      </c>
      <c r="B67">
        <v>0.74166666666666703</v>
      </c>
      <c r="C67">
        <v>-0.16111111111111101</v>
      </c>
      <c r="D67">
        <v>0.16111111111111101</v>
      </c>
      <c r="E67">
        <v>0.32222222222222202</v>
      </c>
      <c r="F67">
        <v>0.66666666666666696</v>
      </c>
      <c r="G67">
        <v>0.174157303370787</v>
      </c>
      <c r="H67">
        <v>1.22126559797971</v>
      </c>
      <c r="I67" s="2">
        <f t="shared" ref="I67:I130" si="2">case4_(A67,B67,C67,D67,E67,F67,G67)</f>
        <v>0</v>
      </c>
      <c r="J67" s="2">
        <f t="shared" ref="J67:J130" si="3">I67-H67</f>
        <v>-1.22126559797971</v>
      </c>
    </row>
    <row r="68" spans="1:10" x14ac:dyDescent="0.3">
      <c r="A68">
        <v>0.27245455366140803</v>
      </c>
      <c r="B68">
        <v>0.5</v>
      </c>
      <c r="C68">
        <v>-0.38058991436726902</v>
      </c>
      <c r="D68">
        <v>0</v>
      </c>
      <c r="E68">
        <v>0.38058991436726902</v>
      </c>
      <c r="F68">
        <v>1.1417697431018099</v>
      </c>
      <c r="G68">
        <v>0.5</v>
      </c>
      <c r="H68">
        <v>0.36981598847585201</v>
      </c>
      <c r="I68" s="2">
        <f t="shared" si="2"/>
        <v>0</v>
      </c>
      <c r="J68" s="2">
        <f t="shared" si="3"/>
        <v>-0.36981598847585201</v>
      </c>
    </row>
    <row r="69" spans="1:10" x14ac:dyDescent="0.3">
      <c r="A69">
        <v>0.27245455366140803</v>
      </c>
      <c r="B69">
        <v>0.5</v>
      </c>
      <c r="C69">
        <v>-9.3457943925233697E-2</v>
      </c>
      <c r="D69">
        <v>0.28037383177570102</v>
      </c>
      <c r="E69">
        <v>0.37383177570093501</v>
      </c>
      <c r="F69">
        <v>1.1214953271028001</v>
      </c>
      <c r="G69">
        <v>0.5</v>
      </c>
      <c r="H69">
        <v>0.45099054529256</v>
      </c>
      <c r="I69" s="2">
        <f t="shared" si="2"/>
        <v>0</v>
      </c>
      <c r="J69" s="2">
        <f t="shared" si="3"/>
        <v>-0.45099054529256</v>
      </c>
    </row>
    <row r="70" spans="1:10" x14ac:dyDescent="0.3">
      <c r="A70">
        <v>0.27245455366140803</v>
      </c>
      <c r="B70">
        <v>0.5</v>
      </c>
      <c r="C70">
        <v>-0.2</v>
      </c>
      <c r="D70">
        <v>0</v>
      </c>
      <c r="E70">
        <v>0.2</v>
      </c>
      <c r="F70">
        <v>0.6</v>
      </c>
      <c r="G70">
        <v>0.5</v>
      </c>
      <c r="H70">
        <v>0.32706734952223798</v>
      </c>
      <c r="I70" s="2">
        <f t="shared" si="2"/>
        <v>0</v>
      </c>
      <c r="J70" s="2">
        <f t="shared" si="3"/>
        <v>-0.32706734952223798</v>
      </c>
    </row>
    <row r="71" spans="1:10" x14ac:dyDescent="0.3">
      <c r="A71">
        <v>0.27245455366140803</v>
      </c>
      <c r="B71">
        <v>0.5</v>
      </c>
      <c r="C71">
        <v>-0.74074074074074103</v>
      </c>
      <c r="D71">
        <v>0</v>
      </c>
      <c r="E71">
        <v>0.74074074074074103</v>
      </c>
      <c r="F71">
        <v>2.2222222222222201</v>
      </c>
      <c r="G71">
        <v>0.5</v>
      </c>
      <c r="H71">
        <v>0.476673281248437</v>
      </c>
      <c r="I71" s="2">
        <f t="shared" si="2"/>
        <v>0</v>
      </c>
      <c r="J71" s="2">
        <f t="shared" si="3"/>
        <v>-0.476673281248437</v>
      </c>
    </row>
    <row r="72" spans="1:10" x14ac:dyDescent="0.3">
      <c r="A72">
        <v>0.24866889861532601</v>
      </c>
      <c r="B72">
        <v>0.5</v>
      </c>
      <c r="C72">
        <v>-0.8</v>
      </c>
      <c r="D72">
        <v>0</v>
      </c>
      <c r="E72">
        <v>0.8</v>
      </c>
      <c r="F72">
        <v>2.4</v>
      </c>
      <c r="G72">
        <v>0.5</v>
      </c>
      <c r="H72">
        <v>0.69139628397960795</v>
      </c>
      <c r="I72" s="2">
        <f t="shared" si="2"/>
        <v>0</v>
      </c>
      <c r="J72" s="2">
        <f t="shared" si="3"/>
        <v>-0.69139628397960795</v>
      </c>
    </row>
    <row r="73" spans="1:10" x14ac:dyDescent="0.3">
      <c r="A73">
        <v>0.24866889861532601</v>
      </c>
      <c r="B73">
        <v>0.5</v>
      </c>
      <c r="C73">
        <v>-0.72727272727272696</v>
      </c>
      <c r="D73">
        <v>0</v>
      </c>
      <c r="E73">
        <v>0.72727272727272696</v>
      </c>
      <c r="F73">
        <v>2.1818181818181799</v>
      </c>
      <c r="G73">
        <v>0.5</v>
      </c>
      <c r="H73">
        <v>0.77843679596707105</v>
      </c>
      <c r="I73" s="2">
        <f t="shared" si="2"/>
        <v>0</v>
      </c>
      <c r="J73" s="2">
        <f t="shared" si="3"/>
        <v>-0.77843679596707105</v>
      </c>
    </row>
    <row r="74" spans="1:10" x14ac:dyDescent="0.3">
      <c r="A74">
        <v>0.24866889861532601</v>
      </c>
      <c r="B74">
        <v>0.5</v>
      </c>
      <c r="C74">
        <v>-0.53333333333333299</v>
      </c>
      <c r="D74">
        <v>0</v>
      </c>
      <c r="E74">
        <v>0.53333333333333299</v>
      </c>
      <c r="F74">
        <v>1.6</v>
      </c>
      <c r="G74">
        <v>0.5</v>
      </c>
      <c r="H74">
        <v>0.491649072463549</v>
      </c>
      <c r="I74" s="2">
        <f t="shared" si="2"/>
        <v>0</v>
      </c>
      <c r="J74" s="2">
        <f t="shared" si="3"/>
        <v>-0.491649072463549</v>
      </c>
    </row>
    <row r="75" spans="1:10" x14ac:dyDescent="0.3">
      <c r="A75">
        <v>0.24866889861532601</v>
      </c>
      <c r="B75">
        <v>0.5</v>
      </c>
      <c r="C75">
        <v>-0.44444444444444398</v>
      </c>
      <c r="D75">
        <v>0</v>
      </c>
      <c r="E75">
        <v>0.44444444444444398</v>
      </c>
      <c r="F75">
        <v>1.3333333333333299</v>
      </c>
      <c r="G75">
        <v>0.5</v>
      </c>
      <c r="H75">
        <v>0.353911553138338</v>
      </c>
      <c r="I75" s="2">
        <f t="shared" si="2"/>
        <v>0</v>
      </c>
      <c r="J75" s="2">
        <f t="shared" si="3"/>
        <v>-0.353911553138338</v>
      </c>
    </row>
    <row r="76" spans="1:10" x14ac:dyDescent="0.3">
      <c r="A76">
        <v>0.24866889861532601</v>
      </c>
      <c r="B76">
        <v>0.5</v>
      </c>
      <c r="C76">
        <v>-0.38095238095238099</v>
      </c>
      <c r="D76">
        <v>0</v>
      </c>
      <c r="E76">
        <v>0.38095238095238099</v>
      </c>
      <c r="F76">
        <v>1.1428571428571399</v>
      </c>
      <c r="G76">
        <v>0.5</v>
      </c>
      <c r="H76">
        <v>0.56418136383391004</v>
      </c>
      <c r="I76" s="2">
        <f t="shared" si="2"/>
        <v>0</v>
      </c>
      <c r="J76" s="2">
        <f t="shared" si="3"/>
        <v>-0.56418136383391004</v>
      </c>
    </row>
    <row r="77" spans="1:10" x14ac:dyDescent="0.3">
      <c r="A77">
        <v>0.24866889861532601</v>
      </c>
      <c r="B77">
        <v>0.5</v>
      </c>
      <c r="C77">
        <v>-0.47058823529411797</v>
      </c>
      <c r="D77">
        <v>0</v>
      </c>
      <c r="E77">
        <v>0.47058823529411797</v>
      </c>
      <c r="F77">
        <v>1.4117647058823499</v>
      </c>
      <c r="G77">
        <v>0.5</v>
      </c>
      <c r="H77">
        <v>0.63950946598889102</v>
      </c>
      <c r="I77" s="2">
        <f t="shared" si="2"/>
        <v>0</v>
      </c>
      <c r="J77" s="2">
        <f t="shared" si="3"/>
        <v>-0.63950946598889102</v>
      </c>
    </row>
    <row r="78" spans="1:10" x14ac:dyDescent="0.3">
      <c r="A78">
        <v>0.24866889861532601</v>
      </c>
      <c r="B78">
        <v>0.5</v>
      </c>
      <c r="C78">
        <v>-1.4285714285714299</v>
      </c>
      <c r="D78">
        <v>0</v>
      </c>
      <c r="E78">
        <v>1.4285714285714299</v>
      </c>
      <c r="F78">
        <v>4.28571428571429</v>
      </c>
      <c r="G78">
        <v>0.5</v>
      </c>
      <c r="H78">
        <v>0.37741110067830902</v>
      </c>
      <c r="I78" s="2">
        <f t="shared" si="2"/>
        <v>0</v>
      </c>
      <c r="J78" s="2">
        <f t="shared" si="3"/>
        <v>-0.37741110067830902</v>
      </c>
    </row>
    <row r="79" spans="1:10" x14ac:dyDescent="0.3">
      <c r="A79">
        <v>0.24866889861532601</v>
      </c>
      <c r="B79">
        <v>0.5</v>
      </c>
      <c r="C79">
        <v>-0.68965517241379304</v>
      </c>
      <c r="D79">
        <v>0</v>
      </c>
      <c r="E79">
        <v>0.68965517241379304</v>
      </c>
      <c r="F79">
        <v>2.0689655172413799</v>
      </c>
      <c r="G79">
        <v>0.5</v>
      </c>
      <c r="H79">
        <v>0.78073205835094495</v>
      </c>
      <c r="I79" s="2">
        <f t="shared" si="2"/>
        <v>0</v>
      </c>
      <c r="J79" s="2">
        <f t="shared" si="3"/>
        <v>-0.78073205835094495</v>
      </c>
    </row>
    <row r="80" spans="1:10" x14ac:dyDescent="0.3">
      <c r="A80">
        <v>0.24866889861532601</v>
      </c>
      <c r="B80">
        <v>0.5</v>
      </c>
      <c r="C80">
        <v>-0.60150375939849599</v>
      </c>
      <c r="D80">
        <v>0</v>
      </c>
      <c r="E80">
        <v>0.60150375939849599</v>
      </c>
      <c r="F80">
        <v>1.80451127819549</v>
      </c>
      <c r="G80">
        <v>0.5</v>
      </c>
      <c r="H80">
        <v>0.59703930857440801</v>
      </c>
      <c r="I80" s="2">
        <f t="shared" si="2"/>
        <v>0</v>
      </c>
      <c r="J80" s="2">
        <f t="shared" si="3"/>
        <v>-0.59703930857440801</v>
      </c>
    </row>
    <row r="81" spans="1:10" x14ac:dyDescent="0.3">
      <c r="A81">
        <v>0.24866889861532601</v>
      </c>
      <c r="B81">
        <v>0.5</v>
      </c>
      <c r="C81">
        <v>-0.72727272727272696</v>
      </c>
      <c r="D81">
        <v>0</v>
      </c>
      <c r="E81">
        <v>0.72727272727272696</v>
      </c>
      <c r="F81">
        <v>2.1818181818181799</v>
      </c>
      <c r="G81">
        <v>0.5</v>
      </c>
      <c r="H81">
        <v>1.0243125627195799</v>
      </c>
      <c r="I81" s="2">
        <f t="shared" si="2"/>
        <v>0</v>
      </c>
      <c r="J81" s="2">
        <f t="shared" si="3"/>
        <v>-1.0243125627195799</v>
      </c>
    </row>
    <row r="82" spans="1:10" x14ac:dyDescent="0.3">
      <c r="A82">
        <v>0.24866889861532601</v>
      </c>
      <c r="B82">
        <v>0.5</v>
      </c>
      <c r="C82">
        <v>-0.75471698113207597</v>
      </c>
      <c r="D82">
        <v>0</v>
      </c>
      <c r="E82">
        <v>0.75471698113207597</v>
      </c>
      <c r="F82">
        <v>2.2641509433962299</v>
      </c>
      <c r="G82">
        <v>0.5</v>
      </c>
      <c r="H82">
        <v>0.77799081259692004</v>
      </c>
      <c r="I82" s="2">
        <f t="shared" si="2"/>
        <v>0</v>
      </c>
      <c r="J82" s="2">
        <f t="shared" si="3"/>
        <v>-0.77799081259692004</v>
      </c>
    </row>
    <row r="83" spans="1:10" x14ac:dyDescent="0.3">
      <c r="A83">
        <v>0.24866889861532601</v>
      </c>
      <c r="B83">
        <v>0.5</v>
      </c>
      <c r="C83">
        <v>-0.37037037037037002</v>
      </c>
      <c r="D83">
        <v>0</v>
      </c>
      <c r="E83">
        <v>0.37037037037037002</v>
      </c>
      <c r="F83">
        <v>1.1111111111111101</v>
      </c>
      <c r="G83">
        <v>0.5</v>
      </c>
      <c r="H83">
        <v>1.0081586654649399</v>
      </c>
      <c r="I83" s="2">
        <f t="shared" si="2"/>
        <v>0</v>
      </c>
      <c r="J83" s="2">
        <f t="shared" si="3"/>
        <v>-1.0081586654649399</v>
      </c>
    </row>
    <row r="84" spans="1:10" x14ac:dyDescent="0.3">
      <c r="A84">
        <v>0.56428</v>
      </c>
      <c r="B84">
        <v>1</v>
      </c>
      <c r="C84">
        <v>-3.9370078740157497E-3</v>
      </c>
      <c r="D84">
        <v>1</v>
      </c>
      <c r="E84">
        <v>1.00393700787402</v>
      </c>
      <c r="F84">
        <v>0.47244094488188998</v>
      </c>
      <c r="G84">
        <v>0</v>
      </c>
      <c r="H84">
        <v>0.68323126634504505</v>
      </c>
      <c r="I84" s="2">
        <f t="shared" si="2"/>
        <v>0</v>
      </c>
      <c r="J84" s="2">
        <f t="shared" si="3"/>
        <v>-0.68323126634504505</v>
      </c>
    </row>
    <row r="85" spans="1:10" x14ac:dyDescent="0.3">
      <c r="A85">
        <v>0.56428</v>
      </c>
      <c r="B85">
        <v>1</v>
      </c>
      <c r="C85">
        <v>-3.9370078740157501E-2</v>
      </c>
      <c r="D85">
        <v>1</v>
      </c>
      <c r="E85">
        <v>1.0393700787401601</v>
      </c>
      <c r="F85">
        <v>0.47244094488188998</v>
      </c>
      <c r="G85">
        <v>0</v>
      </c>
      <c r="H85">
        <v>0.71528540225194503</v>
      </c>
      <c r="I85" s="2">
        <f t="shared" si="2"/>
        <v>0</v>
      </c>
      <c r="J85" s="2">
        <f t="shared" si="3"/>
        <v>-0.71528540225194503</v>
      </c>
    </row>
    <row r="86" spans="1:10" x14ac:dyDescent="0.3">
      <c r="A86">
        <v>0.56428</v>
      </c>
      <c r="B86">
        <v>1</v>
      </c>
      <c r="C86">
        <v>-7.8740157480315001E-2</v>
      </c>
      <c r="D86">
        <v>1</v>
      </c>
      <c r="E86">
        <v>1.0787401574803199</v>
      </c>
      <c r="F86">
        <v>0.47244094488188998</v>
      </c>
      <c r="G86">
        <v>0</v>
      </c>
      <c r="H86">
        <v>0.72308779058726702</v>
      </c>
      <c r="I86" s="2">
        <f t="shared" si="2"/>
        <v>0</v>
      </c>
      <c r="J86" s="2">
        <f t="shared" si="3"/>
        <v>-0.72308779058726702</v>
      </c>
    </row>
    <row r="87" spans="1:10" x14ac:dyDescent="0.3">
      <c r="A87">
        <v>0.56428</v>
      </c>
      <c r="B87">
        <v>1</v>
      </c>
      <c r="C87">
        <v>-0.118110236220472</v>
      </c>
      <c r="D87">
        <v>1</v>
      </c>
      <c r="E87">
        <v>1.11811023622047</v>
      </c>
      <c r="F87">
        <v>0.47244094488188998</v>
      </c>
      <c r="G87">
        <v>0</v>
      </c>
      <c r="H87">
        <v>0.74257917824394404</v>
      </c>
      <c r="I87" s="2">
        <f t="shared" si="2"/>
        <v>0</v>
      </c>
      <c r="J87" s="2">
        <f t="shared" si="3"/>
        <v>-0.74257917824394404</v>
      </c>
    </row>
    <row r="88" spans="1:10" x14ac:dyDescent="0.3">
      <c r="A88">
        <v>0.56428</v>
      </c>
      <c r="B88">
        <v>1</v>
      </c>
      <c r="C88">
        <v>-0.196850393700787</v>
      </c>
      <c r="D88">
        <v>1</v>
      </c>
      <c r="E88">
        <v>1.1968503937007899</v>
      </c>
      <c r="F88">
        <v>0.47244094488188998</v>
      </c>
      <c r="G88">
        <v>0</v>
      </c>
      <c r="H88">
        <v>0.72910645524047701</v>
      </c>
      <c r="I88" s="2">
        <f t="shared" si="2"/>
        <v>0</v>
      </c>
      <c r="J88" s="2">
        <f t="shared" si="3"/>
        <v>-0.72910645524047701</v>
      </c>
    </row>
    <row r="89" spans="1:10" x14ac:dyDescent="0.3">
      <c r="A89">
        <v>0.56428</v>
      </c>
      <c r="B89">
        <v>1</v>
      </c>
      <c r="C89">
        <v>-0.23622047244094499</v>
      </c>
      <c r="D89">
        <v>1</v>
      </c>
      <c r="E89">
        <v>1.23622047244094</v>
      </c>
      <c r="F89">
        <v>0.47244094488188998</v>
      </c>
      <c r="G89">
        <v>0</v>
      </c>
      <c r="H89">
        <v>0.72547814731159699</v>
      </c>
      <c r="I89" s="2">
        <f t="shared" si="2"/>
        <v>0</v>
      </c>
      <c r="J89" s="2">
        <f t="shared" si="3"/>
        <v>-0.72547814731159699</v>
      </c>
    </row>
    <row r="90" spans="1:10" x14ac:dyDescent="0.3">
      <c r="A90">
        <v>0.56428</v>
      </c>
      <c r="B90">
        <v>1</v>
      </c>
      <c r="C90">
        <v>-0.27559055118110198</v>
      </c>
      <c r="D90">
        <v>1</v>
      </c>
      <c r="E90">
        <v>1.2755905511811001</v>
      </c>
      <c r="F90">
        <v>0.47244094488188998</v>
      </c>
      <c r="G90">
        <v>0</v>
      </c>
      <c r="H90">
        <v>0.76774339343831</v>
      </c>
      <c r="I90" s="2">
        <f t="shared" si="2"/>
        <v>0</v>
      </c>
      <c r="J90" s="2">
        <f t="shared" si="3"/>
        <v>-0.76774339343831</v>
      </c>
    </row>
    <row r="91" spans="1:10" x14ac:dyDescent="0.3">
      <c r="A91">
        <v>0.56428</v>
      </c>
      <c r="B91">
        <v>1</v>
      </c>
      <c r="C91">
        <v>-0.31496062992126</v>
      </c>
      <c r="D91">
        <v>1</v>
      </c>
      <c r="E91">
        <v>1.3149606299212599</v>
      </c>
      <c r="F91">
        <v>0.47244094488188998</v>
      </c>
      <c r="G91">
        <v>0</v>
      </c>
      <c r="H91">
        <v>0.73541499296627999</v>
      </c>
      <c r="I91" s="2">
        <f t="shared" si="2"/>
        <v>0</v>
      </c>
      <c r="J91" s="2">
        <f t="shared" si="3"/>
        <v>-0.73541499296627999</v>
      </c>
    </row>
    <row r="92" spans="1:10" x14ac:dyDescent="0.3">
      <c r="A92">
        <v>0.56428</v>
      </c>
      <c r="B92">
        <v>1</v>
      </c>
      <c r="C92">
        <v>-0.35433070866141703</v>
      </c>
      <c r="D92">
        <v>1</v>
      </c>
      <c r="E92">
        <v>1.35433070866142</v>
      </c>
      <c r="F92">
        <v>0.47244094488188998</v>
      </c>
      <c r="G92">
        <v>0</v>
      </c>
      <c r="H92">
        <v>0.77744487386414796</v>
      </c>
      <c r="I92" s="2">
        <f t="shared" si="2"/>
        <v>0</v>
      </c>
      <c r="J92" s="2">
        <f t="shared" si="3"/>
        <v>-0.77744487386414796</v>
      </c>
    </row>
    <row r="93" spans="1:10" x14ac:dyDescent="0.3">
      <c r="A93">
        <v>0.56428</v>
      </c>
      <c r="B93">
        <v>1</v>
      </c>
      <c r="C93">
        <v>-0.39370078740157499</v>
      </c>
      <c r="D93">
        <v>1</v>
      </c>
      <c r="E93">
        <v>1.3937007874015701</v>
      </c>
      <c r="F93">
        <v>0.47244094488188998</v>
      </c>
      <c r="G93">
        <v>0</v>
      </c>
      <c r="H93">
        <v>0.71204736741845698</v>
      </c>
      <c r="I93" s="2">
        <f t="shared" si="2"/>
        <v>0</v>
      </c>
      <c r="J93" s="2">
        <f t="shared" si="3"/>
        <v>-0.71204736741845698</v>
      </c>
    </row>
    <row r="94" spans="1:10" x14ac:dyDescent="0.3">
      <c r="A94">
        <v>0.56428</v>
      </c>
      <c r="B94">
        <v>1</v>
      </c>
      <c r="C94">
        <v>-0.47244094488188998</v>
      </c>
      <c r="D94">
        <v>1</v>
      </c>
      <c r="E94">
        <v>1.47244094488189</v>
      </c>
      <c r="F94">
        <v>0.47244094488188998</v>
      </c>
      <c r="G94">
        <v>0</v>
      </c>
      <c r="H94">
        <v>0.65809837844934305</v>
      </c>
      <c r="I94" s="2">
        <f t="shared" si="2"/>
        <v>0</v>
      </c>
      <c r="J94" s="2">
        <f t="shared" si="3"/>
        <v>-0.65809837844934305</v>
      </c>
    </row>
    <row r="95" spans="1:10" x14ac:dyDescent="0.3">
      <c r="A95">
        <v>0.56428</v>
      </c>
      <c r="B95">
        <v>1</v>
      </c>
      <c r="C95">
        <v>-0.59055118110236204</v>
      </c>
      <c r="D95">
        <v>1</v>
      </c>
      <c r="E95">
        <v>1.59055118110236</v>
      </c>
      <c r="F95">
        <v>0.47244094488188998</v>
      </c>
      <c r="G95">
        <v>0</v>
      </c>
      <c r="H95">
        <v>0.66611289423098696</v>
      </c>
      <c r="I95" s="2">
        <f t="shared" si="2"/>
        <v>0</v>
      </c>
      <c r="J95" s="2">
        <f t="shared" si="3"/>
        <v>-0.66611289423098696</v>
      </c>
    </row>
    <row r="96" spans="1:10" x14ac:dyDescent="0.3">
      <c r="A96">
        <v>0.26022155053158802</v>
      </c>
      <c r="B96">
        <v>0.52631578947368396</v>
      </c>
      <c r="C96">
        <v>-1.58635732698788E-3</v>
      </c>
      <c r="D96">
        <v>0.24083788509725501</v>
      </c>
      <c r="E96">
        <v>0.24242424242424199</v>
      </c>
      <c r="F96">
        <v>0.57575757575757602</v>
      </c>
      <c r="G96">
        <v>0.4</v>
      </c>
      <c r="H96">
        <v>0.84941363620810995</v>
      </c>
      <c r="I96" s="2">
        <f t="shared" si="2"/>
        <v>0</v>
      </c>
      <c r="J96" s="2">
        <f t="shared" si="3"/>
        <v>-0.84941363620810995</v>
      </c>
    </row>
    <row r="97" spans="1:11" x14ac:dyDescent="0.3">
      <c r="A97">
        <v>0.26022155053158802</v>
      </c>
      <c r="B97">
        <v>0.52631578947368396</v>
      </c>
      <c r="C97">
        <v>-0.12727272727272701</v>
      </c>
      <c r="D97">
        <v>0.115151515151515</v>
      </c>
      <c r="E97">
        <v>0.24242424242424199</v>
      </c>
      <c r="F97">
        <v>0.57575757575757602</v>
      </c>
      <c r="G97">
        <v>0.4</v>
      </c>
      <c r="H97">
        <v>1.05554247406992</v>
      </c>
      <c r="I97" s="2">
        <f t="shared" si="2"/>
        <v>0</v>
      </c>
      <c r="J97" s="2">
        <f t="shared" si="3"/>
        <v>-1.05554247406992</v>
      </c>
    </row>
    <row r="98" spans="1:11" x14ac:dyDescent="0.3">
      <c r="A98">
        <v>0.26022155053158802</v>
      </c>
      <c r="B98">
        <v>0.52631578947368396</v>
      </c>
      <c r="C98">
        <v>-0.24242424242424199</v>
      </c>
      <c r="D98">
        <v>0</v>
      </c>
      <c r="E98">
        <v>0.24242424242424199</v>
      </c>
      <c r="F98">
        <v>0.57575757575757602</v>
      </c>
      <c r="G98">
        <v>0.4</v>
      </c>
      <c r="H98">
        <v>1.14317379361133</v>
      </c>
      <c r="I98" s="2">
        <f t="shared" si="2"/>
        <v>0</v>
      </c>
      <c r="J98" s="2">
        <f t="shared" si="3"/>
        <v>-1.14317379361133</v>
      </c>
    </row>
    <row r="99" spans="1:11" x14ac:dyDescent="0.3">
      <c r="A99">
        <v>0.35265771076355301</v>
      </c>
      <c r="B99">
        <v>0.25</v>
      </c>
      <c r="C99">
        <v>-0.1</v>
      </c>
      <c r="D99">
        <v>0</v>
      </c>
      <c r="E99">
        <v>0.1</v>
      </c>
      <c r="F99">
        <v>0.2</v>
      </c>
      <c r="G99">
        <v>1.6666666666666701</v>
      </c>
      <c r="H99">
        <v>0.411689657273693</v>
      </c>
      <c r="I99" s="2">
        <f t="shared" si="2"/>
        <v>0</v>
      </c>
      <c r="J99" s="2">
        <f t="shared" si="3"/>
        <v>-0.411689657273693</v>
      </c>
    </row>
    <row r="100" spans="1:11" x14ac:dyDescent="0.3">
      <c r="A100">
        <v>0.35265771076355301</v>
      </c>
      <c r="B100">
        <v>0.25</v>
      </c>
      <c r="C100">
        <v>-8.6887835702995997E-4</v>
      </c>
      <c r="D100">
        <v>9.9131121642969999E-2</v>
      </c>
      <c r="E100">
        <v>0.1</v>
      </c>
      <c r="F100">
        <v>0.2</v>
      </c>
      <c r="G100">
        <v>0</v>
      </c>
      <c r="H100">
        <v>1.45203308936832</v>
      </c>
      <c r="I100" s="2">
        <f t="shared" si="2"/>
        <v>0</v>
      </c>
      <c r="J100" s="2">
        <f t="shared" si="3"/>
        <v>-1.45203308936832</v>
      </c>
    </row>
    <row r="101" spans="1:11" x14ac:dyDescent="0.3">
      <c r="A101">
        <v>0.35265771076355301</v>
      </c>
      <c r="B101">
        <v>0.25</v>
      </c>
      <c r="C101">
        <v>-2.75276461295418E-2</v>
      </c>
      <c r="D101">
        <v>7.2472353870458195E-2</v>
      </c>
      <c r="E101">
        <v>0.1</v>
      </c>
      <c r="F101">
        <v>0.2</v>
      </c>
      <c r="G101">
        <v>0</v>
      </c>
      <c r="H101">
        <v>1.7291241739071099</v>
      </c>
      <c r="I101" s="2">
        <f t="shared" si="2"/>
        <v>0</v>
      </c>
      <c r="J101" s="2">
        <f t="shared" si="3"/>
        <v>-1.7291241739071099</v>
      </c>
    </row>
    <row r="102" spans="1:11" x14ac:dyDescent="0.3">
      <c r="A102">
        <v>0.35265771076355301</v>
      </c>
      <c r="B102">
        <v>0.25</v>
      </c>
      <c r="C102">
        <v>-0.1</v>
      </c>
      <c r="D102">
        <v>0</v>
      </c>
      <c r="E102">
        <v>0.1</v>
      </c>
      <c r="F102">
        <v>0.2</v>
      </c>
      <c r="G102">
        <v>0</v>
      </c>
      <c r="H102">
        <v>1.63259671311122</v>
      </c>
      <c r="I102" s="2">
        <f t="shared" si="2"/>
        <v>0</v>
      </c>
      <c r="J102" s="2">
        <f t="shared" si="3"/>
        <v>-1.63259671311122</v>
      </c>
    </row>
    <row r="103" spans="1:11" x14ac:dyDescent="0.3">
      <c r="A103">
        <v>0.24866889861532601</v>
      </c>
      <c r="B103">
        <v>0.32</v>
      </c>
      <c r="C103">
        <v>-0.5</v>
      </c>
      <c r="D103">
        <v>0</v>
      </c>
      <c r="E103">
        <v>0.5</v>
      </c>
      <c r="F103">
        <v>1.5</v>
      </c>
      <c r="G103">
        <v>1.0625</v>
      </c>
      <c r="H103">
        <v>1.04572829309309</v>
      </c>
      <c r="I103" s="2">
        <f t="shared" si="2"/>
        <v>0</v>
      </c>
      <c r="J103" s="2">
        <f t="shared" si="3"/>
        <v>-1.04572829309309</v>
      </c>
    </row>
    <row r="104" spans="1:11" x14ac:dyDescent="0.3">
      <c r="A104">
        <v>0.368816399721904</v>
      </c>
      <c r="B104">
        <v>0.25</v>
      </c>
      <c r="C104">
        <v>-0.12</v>
      </c>
      <c r="D104">
        <v>0.12</v>
      </c>
      <c r="E104">
        <v>0.24</v>
      </c>
      <c r="F104">
        <v>0.48</v>
      </c>
      <c r="G104">
        <v>0.86666666666666703</v>
      </c>
      <c r="H104">
        <v>1.4600220305909</v>
      </c>
      <c r="I104" s="2">
        <f t="shared" si="2"/>
        <v>0</v>
      </c>
      <c r="J104" s="2">
        <f t="shared" si="3"/>
        <v>-1.4600220305909</v>
      </c>
    </row>
    <row r="105" spans="1:11" x14ac:dyDescent="0.3">
      <c r="A105">
        <v>0.368816399721904</v>
      </c>
      <c r="B105">
        <v>0.25</v>
      </c>
      <c r="C105">
        <v>-0.24</v>
      </c>
      <c r="D105">
        <v>0</v>
      </c>
      <c r="E105">
        <v>0.24</v>
      </c>
      <c r="F105">
        <v>0.48</v>
      </c>
      <c r="G105">
        <v>0.86666666666666703</v>
      </c>
      <c r="H105">
        <v>0.88404045518559304</v>
      </c>
      <c r="I105" s="2">
        <f t="shared" si="2"/>
        <v>0</v>
      </c>
      <c r="J105" s="2">
        <f t="shared" si="3"/>
        <v>-0.88404045518559304</v>
      </c>
    </row>
    <row r="106" spans="1:11" x14ac:dyDescent="0.3">
      <c r="A106">
        <v>0.6851488</v>
      </c>
      <c r="B106">
        <v>0.6</v>
      </c>
      <c r="C106">
        <v>-0.12</v>
      </c>
      <c r="D106">
        <v>0.12</v>
      </c>
      <c r="E106">
        <v>0.24</v>
      </c>
      <c r="F106">
        <v>0.2</v>
      </c>
      <c r="G106">
        <v>0.33333333333333298</v>
      </c>
      <c r="H106">
        <v>1.74722420826812</v>
      </c>
      <c r="I106" s="2">
        <f t="shared" si="2"/>
        <v>0</v>
      </c>
      <c r="J106" s="2">
        <f t="shared" si="3"/>
        <v>-1.74722420826812</v>
      </c>
    </row>
    <row r="107" spans="1:11" x14ac:dyDescent="0.3">
      <c r="A107" t="s">
        <v>2</v>
      </c>
      <c r="B107" t="s">
        <v>3</v>
      </c>
      <c r="C107" t="s">
        <v>4</v>
      </c>
      <c r="D107" t="s">
        <v>5</v>
      </c>
      <c r="E107" t="s">
        <v>6</v>
      </c>
      <c r="F107" t="s">
        <v>7</v>
      </c>
      <c r="G107" t="s">
        <v>8</v>
      </c>
      <c r="H107" t="s">
        <v>9</v>
      </c>
      <c r="I107" s="2">
        <f t="shared" si="2"/>
        <v>0</v>
      </c>
      <c r="J107" s="2" t="e">
        <f t="shared" si="3"/>
        <v>#VALUE!</v>
      </c>
    </row>
    <row r="108" spans="1:11" x14ac:dyDescent="0.3">
      <c r="A108">
        <v>0.319090064269206</v>
      </c>
      <c r="B108">
        <v>0.24444444444444399</v>
      </c>
      <c r="C108">
        <v>-0.20512557531313699</v>
      </c>
      <c r="D108">
        <v>0</v>
      </c>
      <c r="E108">
        <v>0.20512557531313699</v>
      </c>
      <c r="F108">
        <v>0.57691568056819797</v>
      </c>
      <c r="G108">
        <v>0.68181818181818199</v>
      </c>
      <c r="H108">
        <v>0.457843147672645</v>
      </c>
      <c r="I108" s="2">
        <f t="shared" si="2"/>
        <v>0</v>
      </c>
      <c r="J108" s="2">
        <f t="shared" si="3"/>
        <v>-0.457843147672645</v>
      </c>
      <c r="K108">
        <f>SQRT(SUMSQ(J108:J132)/COUNT(J108:J132))</f>
        <v>0.83938282981300683</v>
      </c>
    </row>
    <row r="109" spans="1:11" x14ac:dyDescent="0.3">
      <c r="A109">
        <v>0.319090064269206</v>
      </c>
      <c r="B109">
        <v>0.24444444444444399</v>
      </c>
      <c r="C109">
        <v>-0.16236363636363599</v>
      </c>
      <c r="D109">
        <v>4.5428571428571402E-2</v>
      </c>
      <c r="E109">
        <v>0.207792207792208</v>
      </c>
      <c r="F109">
        <v>0.58441558441558406</v>
      </c>
      <c r="G109">
        <v>0.68181818181818199</v>
      </c>
      <c r="H109">
        <v>0.42167581154280298</v>
      </c>
      <c r="I109" s="2">
        <f t="shared" si="2"/>
        <v>0</v>
      </c>
      <c r="J109" s="2">
        <f t="shared" si="3"/>
        <v>-0.42167581154280298</v>
      </c>
    </row>
    <row r="110" spans="1:11" x14ac:dyDescent="0.3">
      <c r="A110">
        <v>0.319090064269206</v>
      </c>
      <c r="B110">
        <v>0.24444444444444399</v>
      </c>
      <c r="C110">
        <v>-0.12085419379085401</v>
      </c>
      <c r="D110">
        <v>9.3902258969437505E-2</v>
      </c>
      <c r="E110">
        <v>0.21475645276029201</v>
      </c>
      <c r="F110">
        <v>0.60400252338831995</v>
      </c>
      <c r="G110">
        <v>0.68181818181818199</v>
      </c>
      <c r="H110">
        <v>0.61014677269060902</v>
      </c>
      <c r="I110" s="2">
        <f t="shared" si="2"/>
        <v>0</v>
      </c>
      <c r="J110" s="2">
        <f t="shared" si="3"/>
        <v>-0.61014677269060902</v>
      </c>
    </row>
    <row r="111" spans="1:11" x14ac:dyDescent="0.3">
      <c r="A111">
        <v>0.319090064269206</v>
      </c>
      <c r="B111">
        <v>0.24444444444444399</v>
      </c>
      <c r="C111">
        <v>-9.3362489666391102E-2</v>
      </c>
      <c r="D111">
        <v>0.119976532707539</v>
      </c>
      <c r="E111">
        <v>0.21333902237392999</v>
      </c>
      <c r="F111">
        <v>0.60001600042667802</v>
      </c>
      <c r="G111">
        <v>0.68181818181818199</v>
      </c>
      <c r="H111">
        <v>0.58424653932453197</v>
      </c>
      <c r="I111" s="2">
        <f t="shared" si="2"/>
        <v>0</v>
      </c>
      <c r="J111" s="2">
        <f t="shared" si="3"/>
        <v>-0.58424653932453197</v>
      </c>
    </row>
    <row r="112" spans="1:11" x14ac:dyDescent="0.3">
      <c r="A112">
        <v>0.319090064269206</v>
      </c>
      <c r="B112">
        <v>0.24444444444444399</v>
      </c>
      <c r="C112">
        <v>-9.8646034816247605E-2</v>
      </c>
      <c r="D112">
        <v>0.111883051092778</v>
      </c>
      <c r="E112">
        <v>0.210529085909025</v>
      </c>
      <c r="F112">
        <v>0.59211305411913295</v>
      </c>
      <c r="G112">
        <v>0.68181818181818199</v>
      </c>
      <c r="H112">
        <v>0.837477249344319</v>
      </c>
      <c r="I112" s="2">
        <f t="shared" si="2"/>
        <v>0</v>
      </c>
      <c r="J112" s="2">
        <f t="shared" si="3"/>
        <v>-0.837477249344319</v>
      </c>
    </row>
    <row r="113" spans="1:10" x14ac:dyDescent="0.3">
      <c r="A113">
        <v>0.319090064269206</v>
      </c>
      <c r="B113">
        <v>0.24444444444444399</v>
      </c>
      <c r="C113">
        <v>-6.0068268487159703E-2</v>
      </c>
      <c r="D113">
        <v>0.15327075388677</v>
      </c>
      <c r="E113">
        <v>0.21333902237392999</v>
      </c>
      <c r="F113">
        <v>0.60001600042667802</v>
      </c>
      <c r="G113">
        <v>0.68181818181818199</v>
      </c>
      <c r="H113">
        <v>0.792925168502427</v>
      </c>
      <c r="I113" s="2">
        <f t="shared" si="2"/>
        <v>0</v>
      </c>
      <c r="J113" s="2">
        <f t="shared" si="3"/>
        <v>-0.792925168502427</v>
      </c>
    </row>
    <row r="114" spans="1:10" x14ac:dyDescent="0.3">
      <c r="A114">
        <v>0.319090064269206</v>
      </c>
      <c r="B114">
        <v>0.24444444444444399</v>
      </c>
      <c r="C114">
        <v>-2.6804289760143901E-2</v>
      </c>
      <c r="D114">
        <v>0.187952163000148</v>
      </c>
      <c r="E114">
        <v>0.21475645276029201</v>
      </c>
      <c r="F114">
        <v>0.60400252338831995</v>
      </c>
      <c r="G114">
        <v>0.68181818181818199</v>
      </c>
      <c r="H114">
        <v>0.98807085347187595</v>
      </c>
      <c r="I114" s="2">
        <f t="shared" si="2"/>
        <v>0</v>
      </c>
      <c r="J114" s="2">
        <f t="shared" si="3"/>
        <v>-0.98807085347187595</v>
      </c>
    </row>
    <row r="115" spans="1:10" x14ac:dyDescent="0.3">
      <c r="A115">
        <v>0.30376590132493603</v>
      </c>
      <c r="B115">
        <v>0.46666666666666701</v>
      </c>
      <c r="C115">
        <v>-0.253430411649398</v>
      </c>
      <c r="D115">
        <v>2.6603192383086002E-2</v>
      </c>
      <c r="E115">
        <v>0.28003360403248401</v>
      </c>
      <c r="F115">
        <v>0.60007200864103705</v>
      </c>
      <c r="G115">
        <v>0.59523809523809501</v>
      </c>
      <c r="H115">
        <v>0.86901590987434396</v>
      </c>
      <c r="I115" s="2">
        <f t="shared" si="2"/>
        <v>0</v>
      </c>
      <c r="J115" s="2">
        <f t="shared" si="3"/>
        <v>-0.86901590987434396</v>
      </c>
    </row>
    <row r="116" spans="1:10" x14ac:dyDescent="0.3">
      <c r="A116">
        <v>0.33472366352331001</v>
      </c>
      <c r="B116">
        <v>0.17777777777777801</v>
      </c>
      <c r="C116">
        <v>-1.4084507042253501E-2</v>
      </c>
      <c r="D116">
        <v>0.147887323943662</v>
      </c>
      <c r="E116">
        <v>0.161971830985915</v>
      </c>
      <c r="F116">
        <v>0.63380281690140805</v>
      </c>
      <c r="G116">
        <v>0.9375</v>
      </c>
      <c r="H116">
        <v>0.41735547829339997</v>
      </c>
      <c r="I116" s="2">
        <f t="shared" si="2"/>
        <v>0</v>
      </c>
      <c r="J116" s="2">
        <f t="shared" si="3"/>
        <v>-0.41735547829339997</v>
      </c>
    </row>
    <row r="117" spans="1:10" x14ac:dyDescent="0.3">
      <c r="A117">
        <v>0.33472366352331001</v>
      </c>
      <c r="B117">
        <v>0.17777777777777801</v>
      </c>
      <c r="C117">
        <v>-1.41843971631206E-2</v>
      </c>
      <c r="D117">
        <v>0.14893617021276601</v>
      </c>
      <c r="E117">
        <v>0.16312056737588701</v>
      </c>
      <c r="F117">
        <v>0.63829787234042601</v>
      </c>
      <c r="G117">
        <v>0.9375</v>
      </c>
      <c r="H117">
        <v>0.56527363967257205</v>
      </c>
      <c r="I117" s="2">
        <f t="shared" si="2"/>
        <v>0</v>
      </c>
      <c r="J117" s="2">
        <f t="shared" si="3"/>
        <v>-0.56527363967257205</v>
      </c>
    </row>
    <row r="118" spans="1:10" x14ac:dyDescent="0.3">
      <c r="A118">
        <v>0.34186098845408902</v>
      </c>
      <c r="B118">
        <v>0.17777777777777801</v>
      </c>
      <c r="C118">
        <v>-8.6330935251798593E-2</v>
      </c>
      <c r="D118">
        <v>7.9136690647481994E-2</v>
      </c>
      <c r="E118">
        <v>0.16546762589928099</v>
      </c>
      <c r="F118">
        <v>0.64748201438848896</v>
      </c>
      <c r="G118">
        <v>0.9375</v>
      </c>
      <c r="H118">
        <v>0.57836946999178995</v>
      </c>
      <c r="I118" s="2">
        <f t="shared" si="2"/>
        <v>0</v>
      </c>
      <c r="J118" s="2">
        <f t="shared" si="3"/>
        <v>-0.57836946999178995</v>
      </c>
    </row>
    <row r="119" spans="1:10" x14ac:dyDescent="0.3">
      <c r="A119">
        <v>0.27511404478700902</v>
      </c>
      <c r="B119">
        <v>0.37853107344632803</v>
      </c>
      <c r="C119">
        <v>-0.120833333333333</v>
      </c>
      <c r="D119">
        <v>0.34166666666666701</v>
      </c>
      <c r="E119">
        <v>0.46250000000000002</v>
      </c>
      <c r="F119">
        <v>0.73750000000000004</v>
      </c>
      <c r="G119">
        <v>1.4029850746268699</v>
      </c>
      <c r="H119">
        <v>0.64669858790286405</v>
      </c>
      <c r="I119" s="2">
        <f t="shared" si="2"/>
        <v>0</v>
      </c>
      <c r="J119" s="2">
        <f t="shared" si="3"/>
        <v>-0.64669858790286405</v>
      </c>
    </row>
    <row r="120" spans="1:10" x14ac:dyDescent="0.3">
      <c r="A120">
        <v>0.44558618529625499</v>
      </c>
      <c r="B120">
        <v>0.55000000000000004</v>
      </c>
      <c r="C120">
        <v>-0.55000000000000004</v>
      </c>
      <c r="D120">
        <v>0.05</v>
      </c>
      <c r="E120">
        <v>0.6</v>
      </c>
      <c r="F120">
        <v>1</v>
      </c>
      <c r="G120">
        <v>0.40909090909090901</v>
      </c>
      <c r="H120">
        <v>0.81834819940776604</v>
      </c>
      <c r="I120" s="2">
        <f t="shared" si="2"/>
        <v>0</v>
      </c>
      <c r="J120" s="2">
        <f t="shared" si="3"/>
        <v>-0.81834819940776604</v>
      </c>
    </row>
    <row r="121" spans="1:10" x14ac:dyDescent="0.3">
      <c r="A121">
        <v>0.44558618529625499</v>
      </c>
      <c r="B121">
        <v>0.55000000000000004</v>
      </c>
      <c r="C121">
        <v>-0.115</v>
      </c>
      <c r="D121">
        <v>0.33500000000000002</v>
      </c>
      <c r="E121">
        <v>0.45</v>
      </c>
      <c r="F121">
        <v>1</v>
      </c>
      <c r="G121">
        <v>0.40909090909090901</v>
      </c>
      <c r="H121">
        <v>0.73352993281467005</v>
      </c>
      <c r="I121" s="2">
        <f t="shared" si="2"/>
        <v>0</v>
      </c>
      <c r="J121" s="2">
        <f t="shared" si="3"/>
        <v>-0.73352993281467005</v>
      </c>
    </row>
    <row r="122" spans="1:10" x14ac:dyDescent="0.3">
      <c r="A122">
        <v>0.44558618529625499</v>
      </c>
      <c r="B122">
        <v>0.55000000000000004</v>
      </c>
      <c r="C122">
        <v>-0.3</v>
      </c>
      <c r="D122">
        <v>0</v>
      </c>
      <c r="E122">
        <v>0.3</v>
      </c>
      <c r="F122">
        <v>1</v>
      </c>
      <c r="G122">
        <v>0.40909090909090901</v>
      </c>
      <c r="H122">
        <v>0.74611805399595299</v>
      </c>
      <c r="I122" s="2">
        <f t="shared" si="2"/>
        <v>0</v>
      </c>
      <c r="J122" s="2">
        <f t="shared" si="3"/>
        <v>-0.74611805399595299</v>
      </c>
    </row>
    <row r="123" spans="1:10" x14ac:dyDescent="0.3">
      <c r="A123">
        <v>0.59769387755101999</v>
      </c>
      <c r="B123">
        <v>1</v>
      </c>
      <c r="C123">
        <v>-0.13</v>
      </c>
      <c r="D123">
        <v>1.01</v>
      </c>
      <c r="E123">
        <v>1.1299999999999999</v>
      </c>
      <c r="F123">
        <v>0.49</v>
      </c>
      <c r="G123">
        <v>0.20408163265306101</v>
      </c>
      <c r="H123">
        <v>1.2602778295344099</v>
      </c>
      <c r="I123" s="2">
        <f t="shared" si="2"/>
        <v>0</v>
      </c>
      <c r="J123" s="2">
        <f t="shared" si="3"/>
        <v>-1.2602778295344099</v>
      </c>
    </row>
    <row r="124" spans="1:10" x14ac:dyDescent="0.3">
      <c r="A124">
        <v>0.59769387755101999</v>
      </c>
      <c r="B124">
        <v>1</v>
      </c>
      <c r="C124">
        <v>-0.18</v>
      </c>
      <c r="D124">
        <v>1.01</v>
      </c>
      <c r="E124">
        <v>1.18</v>
      </c>
      <c r="F124">
        <v>0.49</v>
      </c>
      <c r="G124">
        <v>0.20408163265306101</v>
      </c>
      <c r="H124">
        <v>1.3509022867428599</v>
      </c>
      <c r="I124" s="2">
        <f t="shared" si="2"/>
        <v>0</v>
      </c>
      <c r="J124" s="2">
        <f t="shared" si="3"/>
        <v>-1.3509022867428599</v>
      </c>
    </row>
    <row r="125" spans="1:10" x14ac:dyDescent="0.3">
      <c r="A125">
        <v>0.27245455366140803</v>
      </c>
      <c r="B125">
        <v>0.5</v>
      </c>
      <c r="C125">
        <v>-0.683760683760684</v>
      </c>
      <c r="D125">
        <v>0</v>
      </c>
      <c r="E125">
        <v>0.683760683760684</v>
      </c>
      <c r="F125">
        <v>2.0512820512820502</v>
      </c>
      <c r="G125">
        <v>0.5</v>
      </c>
      <c r="H125">
        <v>0.66031476825194901</v>
      </c>
      <c r="I125" s="2">
        <f t="shared" si="2"/>
        <v>0</v>
      </c>
      <c r="J125" s="2">
        <f t="shared" si="3"/>
        <v>-0.66031476825194901</v>
      </c>
    </row>
    <row r="126" spans="1:10" x14ac:dyDescent="0.3">
      <c r="A126">
        <v>0.24866889861532601</v>
      </c>
      <c r="B126">
        <v>0.5</v>
      </c>
      <c r="C126">
        <v>-0.53333333333333299</v>
      </c>
      <c r="D126">
        <v>0</v>
      </c>
      <c r="E126">
        <v>0.53333333333333299</v>
      </c>
      <c r="F126">
        <v>1.6</v>
      </c>
      <c r="G126">
        <v>0.5</v>
      </c>
      <c r="H126">
        <v>0.50036934082131501</v>
      </c>
      <c r="I126" s="2">
        <f t="shared" si="2"/>
        <v>0</v>
      </c>
      <c r="J126" s="2">
        <f t="shared" si="3"/>
        <v>-0.50036934082131501</v>
      </c>
    </row>
    <row r="127" spans="1:10" x14ac:dyDescent="0.3">
      <c r="A127">
        <v>0.24866889861532601</v>
      </c>
      <c r="B127">
        <v>0.5</v>
      </c>
      <c r="C127">
        <v>-0.36697247706421998</v>
      </c>
      <c r="D127">
        <v>0</v>
      </c>
      <c r="E127">
        <v>0.36697247706421998</v>
      </c>
      <c r="F127">
        <v>1.1009174311926599</v>
      </c>
      <c r="G127">
        <v>0.5</v>
      </c>
      <c r="H127">
        <v>0.54046375068896702</v>
      </c>
      <c r="I127" s="2">
        <f t="shared" si="2"/>
        <v>0</v>
      </c>
      <c r="J127" s="2">
        <f t="shared" si="3"/>
        <v>-0.54046375068896702</v>
      </c>
    </row>
    <row r="128" spans="1:10" x14ac:dyDescent="0.3">
      <c r="A128">
        <v>0.24866889861532601</v>
      </c>
      <c r="B128">
        <v>0.5</v>
      </c>
      <c r="C128">
        <v>-0.27397260273972601</v>
      </c>
      <c r="D128">
        <v>0</v>
      </c>
      <c r="E128">
        <v>0.27397260273972601</v>
      </c>
      <c r="F128">
        <v>0.82191780821917804</v>
      </c>
      <c r="G128">
        <v>0.5</v>
      </c>
      <c r="H128">
        <v>0.85984788810671797</v>
      </c>
      <c r="I128" s="2">
        <f t="shared" si="2"/>
        <v>0</v>
      </c>
      <c r="J128" s="2">
        <f t="shared" si="3"/>
        <v>-0.85984788810671797</v>
      </c>
    </row>
    <row r="129" spans="1:10" x14ac:dyDescent="0.3">
      <c r="A129">
        <v>0.56428</v>
      </c>
      <c r="B129">
        <v>1</v>
      </c>
      <c r="C129">
        <v>-0.15748031496063</v>
      </c>
      <c r="D129">
        <v>1</v>
      </c>
      <c r="E129">
        <v>1.1574803149606301</v>
      </c>
      <c r="F129">
        <v>0.47244094488188998</v>
      </c>
      <c r="G129">
        <v>0</v>
      </c>
      <c r="H129">
        <v>0.71556194610519297</v>
      </c>
      <c r="I129" s="2">
        <f t="shared" si="2"/>
        <v>0</v>
      </c>
      <c r="J129" s="2">
        <f t="shared" si="3"/>
        <v>-0.71556194610519297</v>
      </c>
    </row>
    <row r="130" spans="1:10" x14ac:dyDescent="0.3">
      <c r="A130">
        <v>0.56428</v>
      </c>
      <c r="B130">
        <v>1</v>
      </c>
      <c r="C130">
        <v>-0.43307086614173201</v>
      </c>
      <c r="D130">
        <v>1</v>
      </c>
      <c r="E130">
        <v>1.43307086614173</v>
      </c>
      <c r="F130">
        <v>0.47244094488188998</v>
      </c>
      <c r="G130">
        <v>0</v>
      </c>
      <c r="H130">
        <v>0.74756854638581205</v>
      </c>
      <c r="I130" s="2">
        <f t="shared" si="2"/>
        <v>0</v>
      </c>
      <c r="J130" s="2">
        <f t="shared" si="3"/>
        <v>-0.74756854638581205</v>
      </c>
    </row>
    <row r="131" spans="1:10" x14ac:dyDescent="0.3">
      <c r="A131">
        <v>0.35265771076355301</v>
      </c>
      <c r="B131">
        <v>0.25</v>
      </c>
      <c r="C131">
        <v>-9.8005203816130693E-3</v>
      </c>
      <c r="D131">
        <v>9.0199479618386896E-2</v>
      </c>
      <c r="E131">
        <v>0.1</v>
      </c>
      <c r="F131">
        <v>0.2</v>
      </c>
      <c r="G131">
        <v>1.6666666666666701</v>
      </c>
      <c r="H131">
        <v>1.4339846969549801</v>
      </c>
      <c r="I131" s="2">
        <f t="shared" ref="I131:I132" si="4">case4_(A131,B131,C131,D131,E131,F131,G131)</f>
        <v>0</v>
      </c>
      <c r="J131" s="2">
        <f t="shared" ref="J131:J132" si="5">I131-H131</f>
        <v>-1.4339846969549801</v>
      </c>
    </row>
    <row r="132" spans="1:10" x14ac:dyDescent="0.3">
      <c r="A132">
        <v>0.24866889861532601</v>
      </c>
      <c r="B132">
        <v>0.32</v>
      </c>
      <c r="C132">
        <v>-0.23</v>
      </c>
      <c r="D132">
        <v>0.27</v>
      </c>
      <c r="E132">
        <v>0.5</v>
      </c>
      <c r="F132">
        <v>1.5</v>
      </c>
      <c r="G132">
        <v>1.0625</v>
      </c>
      <c r="H132">
        <v>1.47726083065011</v>
      </c>
      <c r="I132" s="2">
        <f t="shared" si="4"/>
        <v>0</v>
      </c>
      <c r="J132" s="2">
        <f t="shared" si="5"/>
        <v>-1.47726083065011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R77"/>
  <sheetViews>
    <sheetView workbookViewId="0">
      <selection activeCell="I4" sqref="I4"/>
    </sheetView>
  </sheetViews>
  <sheetFormatPr defaultRowHeight="14.4" x14ac:dyDescent="0.3"/>
  <sheetData>
    <row r="3" spans="1:18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</row>
    <row r="4" spans="1:18" x14ac:dyDescent="0.3">
      <c r="A4">
        <v>0.319090064269206</v>
      </c>
      <c r="B4">
        <v>0.24444444444444399</v>
      </c>
      <c r="C4">
        <v>-0.39402396979149601</v>
      </c>
      <c r="D4">
        <v>-0.37317353472336201</v>
      </c>
      <c r="E4">
        <v>2.0850435068133201E-2</v>
      </c>
      <c r="F4">
        <v>0.67163176669004898</v>
      </c>
      <c r="G4">
        <v>0.68181818181818199</v>
      </c>
      <c r="H4">
        <v>0.83928188310499696</v>
      </c>
      <c r="I4">
        <f>case5_(A4,B4,C4,D4,E4,F4,G4)</f>
        <v>0.84081971579755876</v>
      </c>
      <c r="J4">
        <f>I4-H4</f>
        <v>1.5378326925618024E-3</v>
      </c>
      <c r="K4" s="2">
        <f>SQRT(SUMSQ(J4:J62)/COUNT(J4:J62))</f>
        <v>0.12144372936892132</v>
      </c>
      <c r="L4" s="2">
        <f>K64</f>
        <v>0.20776908169016065</v>
      </c>
    </row>
    <row r="5" spans="1:18" x14ac:dyDescent="0.3">
      <c r="A5">
        <v>0.319090064269206</v>
      </c>
      <c r="B5">
        <v>0.24444444444444399</v>
      </c>
      <c r="C5">
        <v>-0.23687153778339201</v>
      </c>
      <c r="D5">
        <v>-2.6342451874366801E-2</v>
      </c>
      <c r="E5">
        <v>0.210529085909025</v>
      </c>
      <c r="F5">
        <v>0.59211305411913295</v>
      </c>
      <c r="G5">
        <v>0.68181818181818199</v>
      </c>
      <c r="H5">
        <v>0.15840728555555</v>
      </c>
      <c r="I5">
        <f t="shared" ref="I5:I68" si="0">case5_(A5,B5,C5,D5,E5,F5,G5)</f>
        <v>0.38888380134945422</v>
      </c>
      <c r="J5">
        <f t="shared" ref="J5:J68" si="1">I5-H5</f>
        <v>0.23047651579390421</v>
      </c>
      <c r="O5">
        <v>9</v>
      </c>
      <c r="P5">
        <v>34</v>
      </c>
      <c r="Q5">
        <v>0.14000000000000001</v>
      </c>
      <c r="R5">
        <v>0.2</v>
      </c>
    </row>
    <row r="6" spans="1:18" x14ac:dyDescent="0.3">
      <c r="A6">
        <v>0.30376590132493603</v>
      </c>
      <c r="B6">
        <v>0.46666666666666701</v>
      </c>
      <c r="C6">
        <v>-0.672080649677961</v>
      </c>
      <c r="D6">
        <v>-0.53346401568188195</v>
      </c>
      <c r="E6">
        <v>0.13861663399607899</v>
      </c>
      <c r="F6">
        <v>0.60007200864103705</v>
      </c>
      <c r="G6">
        <v>0.59523809523809501</v>
      </c>
      <c r="H6">
        <v>0.61921633309562596</v>
      </c>
      <c r="I6">
        <f t="shared" si="0"/>
        <v>0.78528280997609201</v>
      </c>
      <c r="J6">
        <f t="shared" si="1"/>
        <v>0.16606647688046605</v>
      </c>
      <c r="O6">
        <v>12</v>
      </c>
      <c r="P6">
        <v>59</v>
      </c>
      <c r="Q6">
        <v>0.12</v>
      </c>
      <c r="R6">
        <v>0.21</v>
      </c>
    </row>
    <row r="7" spans="1:18" x14ac:dyDescent="0.3">
      <c r="A7">
        <v>0.30376590132493603</v>
      </c>
      <c r="B7">
        <v>0.46666666666666701</v>
      </c>
      <c r="C7">
        <v>-0.66759388038943002</v>
      </c>
      <c r="D7">
        <v>-0.59610570236439497</v>
      </c>
      <c r="E7">
        <v>7.1488178025034793E-2</v>
      </c>
      <c r="F7">
        <v>0.59606596463341899</v>
      </c>
      <c r="G7">
        <v>0.59523809523809501</v>
      </c>
      <c r="H7">
        <v>0.59663993146710204</v>
      </c>
      <c r="I7">
        <f t="shared" si="0"/>
        <v>0.81292587860277798</v>
      </c>
      <c r="J7">
        <f t="shared" si="1"/>
        <v>0.21628594713567595</v>
      </c>
    </row>
    <row r="8" spans="1:18" x14ac:dyDescent="0.3">
      <c r="A8">
        <v>0.30376590132493603</v>
      </c>
      <c r="B8">
        <v>0.46666666666666701</v>
      </c>
      <c r="C8">
        <v>-0.348715114672561</v>
      </c>
      <c r="D8">
        <v>-7.2395689416966003E-2</v>
      </c>
      <c r="E8">
        <v>0.276319425255595</v>
      </c>
      <c r="F8">
        <v>0.59211305411913295</v>
      </c>
      <c r="G8">
        <v>0.59523809523809501</v>
      </c>
      <c r="H8">
        <v>0.62236290903029701</v>
      </c>
      <c r="I8">
        <f t="shared" si="0"/>
        <v>0.559569907602671</v>
      </c>
      <c r="J8">
        <f t="shared" si="1"/>
        <v>-6.2793001427626005E-2</v>
      </c>
    </row>
    <row r="9" spans="1:18" x14ac:dyDescent="0.3">
      <c r="A9">
        <v>0.30376590132493603</v>
      </c>
      <c r="B9">
        <v>0.46666666666666701</v>
      </c>
      <c r="C9">
        <v>-0.55391600454029499</v>
      </c>
      <c r="D9">
        <v>-0.27014755959137299</v>
      </c>
      <c r="E9">
        <v>0.28376844494892201</v>
      </c>
      <c r="F9">
        <v>0.60807523917626105</v>
      </c>
      <c r="G9">
        <v>0.59523809523809501</v>
      </c>
      <c r="H9">
        <v>0.34171514925233298</v>
      </c>
      <c r="I9">
        <f t="shared" si="0"/>
        <v>0.59738025330778211</v>
      </c>
      <c r="J9">
        <f t="shared" si="1"/>
        <v>0.25566510405544912</v>
      </c>
    </row>
    <row r="10" spans="1:18" x14ac:dyDescent="0.3">
      <c r="A10">
        <v>0.30376590132493603</v>
      </c>
      <c r="B10">
        <v>0.46666666666666701</v>
      </c>
      <c r="C10">
        <v>-0.44843568945538798</v>
      </c>
      <c r="D10">
        <v>-0.158748551564311</v>
      </c>
      <c r="E10">
        <v>0.28968713789107797</v>
      </c>
      <c r="F10">
        <v>0.62075815262373801</v>
      </c>
      <c r="G10">
        <v>0.59523809523809501</v>
      </c>
      <c r="H10">
        <v>0.44769671727960397</v>
      </c>
      <c r="I10">
        <f t="shared" si="0"/>
        <v>0.56610244563395895</v>
      </c>
      <c r="J10">
        <f t="shared" si="1"/>
        <v>0.11840572835435498</v>
      </c>
    </row>
    <row r="11" spans="1:18" x14ac:dyDescent="0.3">
      <c r="A11">
        <v>0</v>
      </c>
      <c r="B11">
        <v>0.17777777777777801</v>
      </c>
      <c r="C11">
        <v>-0.28235294117647097</v>
      </c>
      <c r="D11">
        <v>-0.220588235294118</v>
      </c>
      <c r="E11">
        <v>6.1764705882352902E-2</v>
      </c>
      <c r="F11">
        <v>0.66176470588235303</v>
      </c>
      <c r="G11">
        <v>0.75</v>
      </c>
      <c r="H11">
        <v>0.767725683042495</v>
      </c>
      <c r="I11">
        <f t="shared" si="0"/>
        <v>0.85310429677588573</v>
      </c>
      <c r="J11">
        <f t="shared" si="1"/>
        <v>8.5378613733390729E-2</v>
      </c>
    </row>
    <row r="12" spans="1:18" x14ac:dyDescent="0.3">
      <c r="A12">
        <v>0.40768003860124302</v>
      </c>
      <c r="B12">
        <v>0.17777777777777801</v>
      </c>
      <c r="C12">
        <v>-0.26853146853146898</v>
      </c>
      <c r="D12">
        <v>-0.15384615384615399</v>
      </c>
      <c r="E12">
        <v>0.114685314685315</v>
      </c>
      <c r="F12">
        <v>0.62937062937062904</v>
      </c>
      <c r="G12">
        <v>0.75</v>
      </c>
      <c r="H12">
        <v>0.58763655547627403</v>
      </c>
      <c r="I12">
        <f t="shared" si="0"/>
        <v>0.5795483982224674</v>
      </c>
      <c r="J12">
        <f t="shared" si="1"/>
        <v>-8.0881572538066271E-3</v>
      </c>
    </row>
    <row r="13" spans="1:18" x14ac:dyDescent="0.3">
      <c r="A13">
        <v>0.40933589781638902</v>
      </c>
      <c r="B13">
        <v>0.17777777777777801</v>
      </c>
      <c r="C13">
        <v>-0.27428571428571402</v>
      </c>
      <c r="D13">
        <v>-0.128571428571429</v>
      </c>
      <c r="E13">
        <v>0.14571428571428599</v>
      </c>
      <c r="F13">
        <v>0.64285714285714302</v>
      </c>
      <c r="G13">
        <v>0.9375</v>
      </c>
      <c r="H13">
        <v>0.46265077163243001</v>
      </c>
      <c r="I13">
        <f t="shared" si="0"/>
        <v>0.38287428892760644</v>
      </c>
      <c r="J13">
        <f t="shared" si="1"/>
        <v>-7.977648270482357E-2</v>
      </c>
    </row>
    <row r="14" spans="1:18" x14ac:dyDescent="0.3">
      <c r="A14">
        <v>0.31078053142483802</v>
      </c>
      <c r="B14">
        <v>0.33108108108108097</v>
      </c>
      <c r="C14">
        <v>-0.56999999999999995</v>
      </c>
      <c r="D14">
        <v>-7.0000000000000007E-2</v>
      </c>
      <c r="E14">
        <v>0.5</v>
      </c>
      <c r="F14">
        <v>1.48</v>
      </c>
      <c r="G14">
        <v>1.03061224489796</v>
      </c>
      <c r="H14">
        <v>0.68646514404249603</v>
      </c>
      <c r="I14">
        <f t="shared" si="0"/>
        <v>0.5355290341644583</v>
      </c>
      <c r="J14">
        <f t="shared" si="1"/>
        <v>-0.15093610987803774</v>
      </c>
    </row>
    <row r="15" spans="1:18" x14ac:dyDescent="0.3">
      <c r="A15">
        <v>0.31078053142483802</v>
      </c>
      <c r="B15">
        <v>0.33108108108108097</v>
      </c>
      <c r="C15">
        <v>-0.63</v>
      </c>
      <c r="D15">
        <v>-0.13</v>
      </c>
      <c r="E15">
        <v>0.5</v>
      </c>
      <c r="F15">
        <v>1.48</v>
      </c>
      <c r="G15">
        <v>1.03061224489796</v>
      </c>
      <c r="H15">
        <v>0.57040054021955799</v>
      </c>
      <c r="I15">
        <f t="shared" si="0"/>
        <v>0.54920939046142347</v>
      </c>
      <c r="J15">
        <f t="shared" si="1"/>
        <v>-2.119114975813452E-2</v>
      </c>
    </row>
    <row r="16" spans="1:18" x14ac:dyDescent="0.3">
      <c r="A16">
        <v>0.31078053142483802</v>
      </c>
      <c r="B16">
        <v>0.33108108108108097</v>
      </c>
      <c r="C16">
        <v>-0.97</v>
      </c>
      <c r="D16">
        <v>-0.47</v>
      </c>
      <c r="E16">
        <v>0.5</v>
      </c>
      <c r="F16">
        <v>1.48</v>
      </c>
      <c r="G16">
        <v>1.03061224489796</v>
      </c>
      <c r="H16">
        <v>0.48821405997454198</v>
      </c>
      <c r="I16">
        <f t="shared" si="0"/>
        <v>0.62763857668438749</v>
      </c>
      <c r="J16">
        <f t="shared" si="1"/>
        <v>0.13942451670984551</v>
      </c>
    </row>
    <row r="17" spans="1:10" x14ac:dyDescent="0.3">
      <c r="A17">
        <v>0.31078053142483802</v>
      </c>
      <c r="B17">
        <v>0.33108108108108097</v>
      </c>
      <c r="C17">
        <v>-1.1759999999999999</v>
      </c>
      <c r="D17">
        <v>-1.1000000000000001</v>
      </c>
      <c r="E17">
        <v>7.5999999999999998E-2</v>
      </c>
      <c r="F17">
        <v>1.48</v>
      </c>
      <c r="G17">
        <v>1.03061224489796</v>
      </c>
      <c r="H17">
        <v>0.98058460970925798</v>
      </c>
      <c r="I17">
        <f t="shared" si="0"/>
        <v>0.89020669802437524</v>
      </c>
      <c r="J17">
        <f t="shared" si="1"/>
        <v>-9.0377911684882739E-2</v>
      </c>
    </row>
    <row r="18" spans="1:10" x14ac:dyDescent="0.3">
      <c r="A18">
        <v>0.31078053142483802</v>
      </c>
      <c r="B18">
        <v>0.33108108108108097</v>
      </c>
      <c r="C18">
        <v>-0.1</v>
      </c>
      <c r="D18">
        <v>-0.09</v>
      </c>
      <c r="E18">
        <v>0.01</v>
      </c>
      <c r="F18">
        <v>1.48</v>
      </c>
      <c r="G18">
        <v>1.03061224489796</v>
      </c>
      <c r="H18">
        <v>0.87844364403539399</v>
      </c>
      <c r="I18">
        <f t="shared" si="0"/>
        <v>0.79405148906044598</v>
      </c>
      <c r="J18">
        <f t="shared" si="1"/>
        <v>-8.4392154974948008E-2</v>
      </c>
    </row>
    <row r="19" spans="1:10" x14ac:dyDescent="0.3">
      <c r="A19">
        <v>0.31078053142483802</v>
      </c>
      <c r="B19">
        <v>0.33108108108108097</v>
      </c>
      <c r="C19">
        <v>-0.15</v>
      </c>
      <c r="D19">
        <v>-0.14000000000000001</v>
      </c>
      <c r="E19">
        <v>0.01</v>
      </c>
      <c r="F19">
        <v>1.48</v>
      </c>
      <c r="G19">
        <v>1.03061224489796</v>
      </c>
      <c r="H19">
        <v>0.7644092876495</v>
      </c>
      <c r="I19">
        <f t="shared" si="0"/>
        <v>0.73720945208165833</v>
      </c>
      <c r="J19">
        <f t="shared" si="1"/>
        <v>-2.7199835567841668E-2</v>
      </c>
    </row>
    <row r="20" spans="1:10" x14ac:dyDescent="0.3">
      <c r="A20">
        <v>0.31078053142483802</v>
      </c>
      <c r="B20">
        <v>0.33108108108108097</v>
      </c>
      <c r="C20">
        <v>-0.51</v>
      </c>
      <c r="D20">
        <v>-0.5</v>
      </c>
      <c r="E20">
        <v>0.01</v>
      </c>
      <c r="F20">
        <v>1.48</v>
      </c>
      <c r="G20">
        <v>1.03061224489796</v>
      </c>
      <c r="H20">
        <v>0.45435732629124598</v>
      </c>
      <c r="I20">
        <f t="shared" si="0"/>
        <v>0.3599045300231154</v>
      </c>
      <c r="J20">
        <f t="shared" si="1"/>
        <v>-9.4452796268130579E-2</v>
      </c>
    </row>
    <row r="21" spans="1:10" x14ac:dyDescent="0.3">
      <c r="A21">
        <v>0.31078053142483802</v>
      </c>
      <c r="B21">
        <v>0.33108108108108097</v>
      </c>
      <c r="C21">
        <v>-0.27</v>
      </c>
      <c r="D21">
        <v>-0.26</v>
      </c>
      <c r="E21">
        <v>0.01</v>
      </c>
      <c r="F21">
        <v>1.48</v>
      </c>
      <c r="G21">
        <v>1.03061224489796</v>
      </c>
      <c r="H21">
        <v>0.331980966911681</v>
      </c>
      <c r="I21">
        <f t="shared" si="0"/>
        <v>0.6054169871051549</v>
      </c>
      <c r="J21">
        <f t="shared" si="1"/>
        <v>0.27343602019347391</v>
      </c>
    </row>
    <row r="22" spans="1:10" x14ac:dyDescent="0.3">
      <c r="A22">
        <v>0.49041819659053498</v>
      </c>
      <c r="B22">
        <v>0.8</v>
      </c>
      <c r="C22">
        <v>-1.375</v>
      </c>
      <c r="D22">
        <v>-1.25</v>
      </c>
      <c r="E22">
        <v>0.125</v>
      </c>
      <c r="F22">
        <v>0.83333333333333304</v>
      </c>
      <c r="G22">
        <v>0.125</v>
      </c>
      <c r="H22">
        <v>1.17995552612205</v>
      </c>
      <c r="I22">
        <f t="shared" si="0"/>
        <v>1.1318889258978126</v>
      </c>
      <c r="J22">
        <f t="shared" si="1"/>
        <v>-4.8066600224237366E-2</v>
      </c>
    </row>
    <row r="23" spans="1:10" x14ac:dyDescent="0.3">
      <c r="A23">
        <v>0.49041819659053498</v>
      </c>
      <c r="B23">
        <v>0.8</v>
      </c>
      <c r="C23">
        <v>-0.358333333333333</v>
      </c>
      <c r="D23">
        <v>-0.233333333333333</v>
      </c>
      <c r="E23">
        <v>0.125</v>
      </c>
      <c r="F23">
        <v>0.83333333333333304</v>
      </c>
      <c r="G23">
        <v>0.125</v>
      </c>
      <c r="H23">
        <v>1.0101868317313401</v>
      </c>
      <c r="I23">
        <f t="shared" si="0"/>
        <v>0.94310183418988469</v>
      </c>
      <c r="J23">
        <f t="shared" si="1"/>
        <v>-6.708499754145536E-2</v>
      </c>
    </row>
    <row r="24" spans="1:10" x14ac:dyDescent="0.3">
      <c r="A24">
        <v>0.49041819659053498</v>
      </c>
      <c r="B24">
        <v>0.8</v>
      </c>
      <c r="C24">
        <v>-0.21249999999999999</v>
      </c>
      <c r="D24">
        <v>-8.7499999999999994E-2</v>
      </c>
      <c r="E24">
        <v>0.125</v>
      </c>
      <c r="F24">
        <v>0.83333333333333304</v>
      </c>
      <c r="G24">
        <v>0.125</v>
      </c>
      <c r="H24">
        <v>0.82864380456501296</v>
      </c>
      <c r="I24">
        <f t="shared" si="0"/>
        <v>0.91634046810147485</v>
      </c>
      <c r="J24">
        <f t="shared" si="1"/>
        <v>8.7696663536461883E-2</v>
      </c>
    </row>
    <row r="25" spans="1:10" x14ac:dyDescent="0.3">
      <c r="A25">
        <v>0.50722133043161599</v>
      </c>
      <c r="B25">
        <v>0.73333333333333295</v>
      </c>
      <c r="C25">
        <v>-1.0833333333333299</v>
      </c>
      <c r="D25">
        <v>-0.95833333333333304</v>
      </c>
      <c r="E25">
        <v>0.125</v>
      </c>
      <c r="F25">
        <v>0.625</v>
      </c>
      <c r="G25">
        <v>0.18181818181818199</v>
      </c>
      <c r="H25">
        <v>1.01799173577901</v>
      </c>
      <c r="I25">
        <f t="shared" si="0"/>
        <v>1.0425906608662698</v>
      </c>
      <c r="J25">
        <f t="shared" si="1"/>
        <v>2.4598925087259804E-2</v>
      </c>
    </row>
    <row r="26" spans="1:10" x14ac:dyDescent="0.3">
      <c r="A26">
        <v>0.50722133043161599</v>
      </c>
      <c r="B26">
        <v>0.73333333333333295</v>
      </c>
      <c r="C26">
        <v>-0.5</v>
      </c>
      <c r="D26">
        <v>-0.375</v>
      </c>
      <c r="E26">
        <v>0.125</v>
      </c>
      <c r="F26">
        <v>0.625</v>
      </c>
      <c r="G26">
        <v>0.18181818181818199</v>
      </c>
      <c r="H26">
        <v>0.844210661171927</v>
      </c>
      <c r="I26">
        <f t="shared" si="0"/>
        <v>0.93506917246716181</v>
      </c>
      <c r="J26">
        <f t="shared" si="1"/>
        <v>9.0858511295234812E-2</v>
      </c>
    </row>
    <row r="27" spans="1:10" x14ac:dyDescent="0.3">
      <c r="A27">
        <v>0.50722133043161599</v>
      </c>
      <c r="B27">
        <v>0.73333333333333295</v>
      </c>
      <c r="C27">
        <v>-0.30833333333333302</v>
      </c>
      <c r="D27">
        <v>-0.18333333333333299</v>
      </c>
      <c r="E27">
        <v>0.125</v>
      </c>
      <c r="F27">
        <v>0.625</v>
      </c>
      <c r="G27">
        <v>0.18181818181818199</v>
      </c>
      <c r="H27">
        <v>0.98304387965256101</v>
      </c>
      <c r="I27">
        <f t="shared" si="0"/>
        <v>0.90001909081183484</v>
      </c>
      <c r="J27">
        <f t="shared" si="1"/>
        <v>-8.3024788840726171E-2</v>
      </c>
    </row>
    <row r="28" spans="1:10" x14ac:dyDescent="0.3">
      <c r="A28">
        <v>0.50722133043161599</v>
      </c>
      <c r="B28">
        <v>0.73333333333333295</v>
      </c>
      <c r="C28">
        <v>-0.15833333333333299</v>
      </c>
      <c r="D28">
        <v>-3.3333333333333298E-2</v>
      </c>
      <c r="E28">
        <v>0.125</v>
      </c>
      <c r="F28">
        <v>0.625</v>
      </c>
      <c r="G28">
        <v>0.18181818181818199</v>
      </c>
      <c r="H28">
        <v>0.84572760983214501</v>
      </c>
      <c r="I28">
        <f t="shared" si="0"/>
        <v>0.87268803439117537</v>
      </c>
      <c r="J28">
        <f t="shared" si="1"/>
        <v>2.696042455903036E-2</v>
      </c>
    </row>
    <row r="29" spans="1:10" x14ac:dyDescent="0.3">
      <c r="A29">
        <v>0.27511404478700902</v>
      </c>
      <c r="B29">
        <v>0.37853107344632803</v>
      </c>
      <c r="C29">
        <v>-0.67</v>
      </c>
      <c r="D29">
        <v>-0.58333333333333304</v>
      </c>
      <c r="E29">
        <v>8.66666666666666E-2</v>
      </c>
      <c r="F29">
        <v>0.73750000000000004</v>
      </c>
      <c r="G29">
        <v>1.4029850746268699</v>
      </c>
      <c r="H29">
        <v>0.90314840449032696</v>
      </c>
      <c r="I29">
        <f t="shared" si="0"/>
        <v>0.81519630404447785</v>
      </c>
      <c r="J29">
        <f t="shared" si="1"/>
        <v>-8.7952100445849113E-2</v>
      </c>
    </row>
    <row r="30" spans="1:10" x14ac:dyDescent="0.3">
      <c r="A30">
        <v>0.27511404478700902</v>
      </c>
      <c r="B30">
        <v>0.37853107344632803</v>
      </c>
      <c r="C30">
        <v>-0.67</v>
      </c>
      <c r="D30">
        <v>-0.41666666666666702</v>
      </c>
      <c r="E30">
        <v>0.25333333333333302</v>
      </c>
      <c r="F30">
        <v>0.73750000000000004</v>
      </c>
      <c r="G30">
        <v>1.4029850746268699</v>
      </c>
      <c r="H30">
        <v>0.62078396605448605</v>
      </c>
      <c r="I30">
        <f t="shared" si="0"/>
        <v>0.60226967239685258</v>
      </c>
      <c r="J30">
        <f t="shared" si="1"/>
        <v>-1.8514293657633463E-2</v>
      </c>
    </row>
    <row r="31" spans="1:10" x14ac:dyDescent="0.3">
      <c r="A31">
        <v>0.27511404478700902</v>
      </c>
      <c r="B31">
        <v>0.37853107344632803</v>
      </c>
      <c r="C31">
        <v>-0.64583333333333304</v>
      </c>
      <c r="D31">
        <v>-0.18333333333333299</v>
      </c>
      <c r="E31">
        <v>0.46250000000000002</v>
      </c>
      <c r="F31">
        <v>0.73750000000000004</v>
      </c>
      <c r="G31">
        <v>1.4029850746268699</v>
      </c>
      <c r="H31">
        <v>0.25905792459925697</v>
      </c>
      <c r="I31">
        <f t="shared" si="0"/>
        <v>0.29465522647065168</v>
      </c>
      <c r="J31">
        <f t="shared" si="1"/>
        <v>3.5597301871394704E-2</v>
      </c>
    </row>
    <row r="32" spans="1:10" x14ac:dyDescent="0.3">
      <c r="A32">
        <v>0.27511404478700902</v>
      </c>
      <c r="B32">
        <v>0.37853107344632803</v>
      </c>
      <c r="C32">
        <v>-0.50416666666666698</v>
      </c>
      <c r="D32">
        <v>-4.1666666666666699E-2</v>
      </c>
      <c r="E32">
        <v>0.46250000000000002</v>
      </c>
      <c r="F32">
        <v>0.73750000000000004</v>
      </c>
      <c r="G32">
        <v>1.4029850746268699</v>
      </c>
      <c r="H32">
        <v>0.17757246046550201</v>
      </c>
      <c r="I32">
        <f t="shared" si="0"/>
        <v>0.26327070662755592</v>
      </c>
      <c r="J32">
        <f t="shared" si="1"/>
        <v>8.5698246162053904E-2</v>
      </c>
    </row>
    <row r="33" spans="1:10" x14ac:dyDescent="0.3">
      <c r="A33">
        <v>0.116617219019459</v>
      </c>
      <c r="B33">
        <v>0.38961038961039002</v>
      </c>
      <c r="C33">
        <v>-0.3</v>
      </c>
      <c r="D33">
        <v>-0.22500000000000001</v>
      </c>
      <c r="E33">
        <v>7.4999999999999997E-2</v>
      </c>
      <c r="F33">
        <v>0.32083333333333303</v>
      </c>
      <c r="G33">
        <v>0.86666666666666703</v>
      </c>
      <c r="H33">
        <v>0.80110747134608895</v>
      </c>
      <c r="I33">
        <f t="shared" si="0"/>
        <v>0.74208570578093802</v>
      </c>
      <c r="J33">
        <f t="shared" si="1"/>
        <v>-5.902176556515093E-2</v>
      </c>
    </row>
    <row r="34" spans="1:10" x14ac:dyDescent="0.3">
      <c r="A34">
        <v>0.116617219019459</v>
      </c>
      <c r="B34">
        <v>0.38961038961039002</v>
      </c>
      <c r="C34">
        <v>-0.241666666666667</v>
      </c>
      <c r="D34">
        <v>-9.5833333333333298E-2</v>
      </c>
      <c r="E34">
        <v>0.14583333333333301</v>
      </c>
      <c r="F34">
        <v>0.32083333333333303</v>
      </c>
      <c r="G34">
        <v>0.86666666666666703</v>
      </c>
      <c r="H34">
        <v>0.67200209561546098</v>
      </c>
      <c r="I34">
        <f t="shared" si="0"/>
        <v>0.64054899894185802</v>
      </c>
      <c r="J34">
        <f t="shared" si="1"/>
        <v>-3.1453096673602965E-2</v>
      </c>
    </row>
    <row r="35" spans="1:10" x14ac:dyDescent="0.3">
      <c r="A35">
        <v>0.116617219019459</v>
      </c>
      <c r="B35">
        <v>0.38961038961039002</v>
      </c>
      <c r="C35">
        <v>-0.204166666666667</v>
      </c>
      <c r="D35">
        <v>-5.83333333333333E-2</v>
      </c>
      <c r="E35">
        <v>0.14583333333333301</v>
      </c>
      <c r="F35">
        <v>0.32083333333333303</v>
      </c>
      <c r="G35">
        <v>0.86666666666666703</v>
      </c>
      <c r="H35">
        <v>0.80299772214121401</v>
      </c>
      <c r="I35">
        <f t="shared" si="0"/>
        <v>0.63345723215828276</v>
      </c>
      <c r="J35">
        <f t="shared" si="1"/>
        <v>-0.16954048998293125</v>
      </c>
    </row>
    <row r="36" spans="1:10" x14ac:dyDescent="0.3">
      <c r="A36">
        <v>0.44939146609105401</v>
      </c>
      <c r="B36">
        <v>0.48780487804877998</v>
      </c>
      <c r="C36">
        <v>-0.6</v>
      </c>
      <c r="D36">
        <v>-0.54166666666666696</v>
      </c>
      <c r="E36">
        <v>5.83333333333333E-2</v>
      </c>
      <c r="F36">
        <v>0.51249999999999996</v>
      </c>
      <c r="G36">
        <v>1.8333333333333299</v>
      </c>
      <c r="H36">
        <v>0.85276987473805199</v>
      </c>
      <c r="I36">
        <f t="shared" si="0"/>
        <v>0.86371627892846004</v>
      </c>
      <c r="J36">
        <f t="shared" si="1"/>
        <v>1.0946404190408043E-2</v>
      </c>
    </row>
    <row r="37" spans="1:10" x14ac:dyDescent="0.3">
      <c r="A37">
        <v>0.44939146609105401</v>
      </c>
      <c r="B37">
        <v>0.48780487804877998</v>
      </c>
      <c r="C37">
        <v>-0.6</v>
      </c>
      <c r="D37">
        <v>-0.33333333333333298</v>
      </c>
      <c r="E37">
        <v>0.266666666666667</v>
      </c>
      <c r="F37">
        <v>0.51249999999999996</v>
      </c>
      <c r="G37">
        <v>1.8333333333333299</v>
      </c>
      <c r="H37">
        <v>0.70134917178004796</v>
      </c>
      <c r="I37">
        <f t="shared" si="0"/>
        <v>0.70338199807458324</v>
      </c>
      <c r="J37">
        <f t="shared" si="1"/>
        <v>2.0328262945352726E-3</v>
      </c>
    </row>
    <row r="38" spans="1:10" x14ac:dyDescent="0.3">
      <c r="A38">
        <v>0.44939146609105401</v>
      </c>
      <c r="B38">
        <v>0.48780487804877998</v>
      </c>
      <c r="C38">
        <v>-0.391666666666667</v>
      </c>
      <c r="D38">
        <v>-8.3333333333333398E-2</v>
      </c>
      <c r="E38">
        <v>0.30833333333333302</v>
      </c>
      <c r="F38">
        <v>0.51249999999999996</v>
      </c>
      <c r="G38">
        <v>1.8333333333333299</v>
      </c>
      <c r="H38">
        <v>0.409634745989158</v>
      </c>
      <c r="I38">
        <f t="shared" si="0"/>
        <v>0.60615792032160698</v>
      </c>
      <c r="J38">
        <f t="shared" si="1"/>
        <v>0.19652317433244898</v>
      </c>
    </row>
    <row r="39" spans="1:10" x14ac:dyDescent="0.3">
      <c r="A39">
        <v>0.44558618529625499</v>
      </c>
      <c r="B39">
        <v>0.85</v>
      </c>
      <c r="C39">
        <v>-1.1000000000000001</v>
      </c>
      <c r="D39">
        <v>-0.5</v>
      </c>
      <c r="E39">
        <v>0.6</v>
      </c>
      <c r="F39">
        <v>1</v>
      </c>
      <c r="G39">
        <v>8.8235294117647106E-2</v>
      </c>
      <c r="H39">
        <v>0.86737810587945496</v>
      </c>
      <c r="I39">
        <f t="shared" si="0"/>
        <v>0.76329529420332065</v>
      </c>
      <c r="J39">
        <f t="shared" si="1"/>
        <v>-0.10408281167613431</v>
      </c>
    </row>
    <row r="40" spans="1:10" x14ac:dyDescent="0.3">
      <c r="A40">
        <v>0.44558618529625499</v>
      </c>
      <c r="B40">
        <v>0.85</v>
      </c>
      <c r="C40">
        <v>-2.04</v>
      </c>
      <c r="D40">
        <v>-1.5</v>
      </c>
      <c r="E40">
        <v>0.54</v>
      </c>
      <c r="F40">
        <v>1</v>
      </c>
      <c r="G40">
        <v>8.8235294117647106E-2</v>
      </c>
      <c r="H40">
        <v>0.95784051095241596</v>
      </c>
      <c r="I40">
        <f t="shared" si="0"/>
        <v>1.0699212809474856</v>
      </c>
      <c r="J40">
        <f t="shared" si="1"/>
        <v>0.11208076999506966</v>
      </c>
    </row>
    <row r="41" spans="1:10" x14ac:dyDescent="0.3">
      <c r="A41">
        <v>0.44558618529625499</v>
      </c>
      <c r="B41">
        <v>0.85</v>
      </c>
      <c r="C41">
        <v>-0.68500000000000005</v>
      </c>
      <c r="D41">
        <v>-0.23499999999999999</v>
      </c>
      <c r="E41">
        <v>0.45</v>
      </c>
      <c r="F41">
        <v>1</v>
      </c>
      <c r="G41">
        <v>8.8235294117647106E-2</v>
      </c>
      <c r="H41">
        <v>0.80367298878225402</v>
      </c>
      <c r="I41">
        <f t="shared" si="0"/>
        <v>0.78279201165707946</v>
      </c>
      <c r="J41">
        <f t="shared" si="1"/>
        <v>-2.088097712517456E-2</v>
      </c>
    </row>
    <row r="42" spans="1:10" x14ac:dyDescent="0.3">
      <c r="A42">
        <v>0.44558618529625499</v>
      </c>
      <c r="B42">
        <v>0.7</v>
      </c>
      <c r="C42">
        <v>-0.68500000000000005</v>
      </c>
      <c r="D42">
        <v>-0.23499999999999999</v>
      </c>
      <c r="E42">
        <v>0.45</v>
      </c>
      <c r="F42">
        <v>1</v>
      </c>
      <c r="G42">
        <v>0.214285714285714</v>
      </c>
      <c r="H42">
        <v>0.60959969130689595</v>
      </c>
      <c r="I42">
        <f t="shared" si="0"/>
        <v>0.64249173816651517</v>
      </c>
      <c r="J42">
        <f t="shared" si="1"/>
        <v>3.2892046859619217E-2</v>
      </c>
    </row>
    <row r="43" spans="1:10" x14ac:dyDescent="0.3">
      <c r="A43">
        <v>0.44558618529625499</v>
      </c>
      <c r="B43">
        <v>0.7</v>
      </c>
      <c r="C43">
        <v>-0.95</v>
      </c>
      <c r="D43">
        <v>-0.5</v>
      </c>
      <c r="E43">
        <v>0.45</v>
      </c>
      <c r="F43">
        <v>1</v>
      </c>
      <c r="G43">
        <v>0.214285714285714</v>
      </c>
      <c r="H43">
        <v>0.74863187388988495</v>
      </c>
      <c r="I43">
        <f t="shared" si="0"/>
        <v>0.70894404156313495</v>
      </c>
      <c r="J43">
        <f t="shared" si="1"/>
        <v>-3.9687832326749994E-2</v>
      </c>
    </row>
    <row r="44" spans="1:10" x14ac:dyDescent="0.3">
      <c r="A44">
        <v>0.44558618529625499</v>
      </c>
      <c r="B44">
        <v>0.55000000000000004</v>
      </c>
      <c r="C44">
        <v>-0.85</v>
      </c>
      <c r="D44">
        <v>-0.25</v>
      </c>
      <c r="E44">
        <v>0.6</v>
      </c>
      <c r="F44">
        <v>1</v>
      </c>
      <c r="G44">
        <v>0.40909090909090901</v>
      </c>
      <c r="H44">
        <v>0.42199134210566702</v>
      </c>
      <c r="I44">
        <f t="shared" si="0"/>
        <v>0.43381234016462589</v>
      </c>
      <c r="J44">
        <f t="shared" si="1"/>
        <v>1.1820998058958865E-2</v>
      </c>
    </row>
    <row r="45" spans="1:10" x14ac:dyDescent="0.3">
      <c r="A45">
        <v>0.44558618529625499</v>
      </c>
      <c r="B45">
        <v>0.55000000000000004</v>
      </c>
      <c r="C45">
        <v>-1.1000000000000001</v>
      </c>
      <c r="D45">
        <v>-0.5</v>
      </c>
      <c r="E45">
        <v>0.6</v>
      </c>
      <c r="F45">
        <v>1</v>
      </c>
      <c r="G45">
        <v>0.40909090909090901</v>
      </c>
      <c r="H45">
        <v>0.70401209402999199</v>
      </c>
      <c r="I45">
        <f t="shared" si="0"/>
        <v>0.49422370295929241</v>
      </c>
      <c r="J45">
        <f t="shared" si="1"/>
        <v>-0.20978839107069958</v>
      </c>
    </row>
    <row r="46" spans="1:10" x14ac:dyDescent="0.3">
      <c r="A46">
        <v>0.44558618529625499</v>
      </c>
      <c r="B46">
        <v>0.4</v>
      </c>
      <c r="C46">
        <v>-0.96</v>
      </c>
      <c r="D46">
        <v>-0.56000000000000005</v>
      </c>
      <c r="E46">
        <v>0.4</v>
      </c>
      <c r="F46">
        <v>1</v>
      </c>
      <c r="G46">
        <v>0.75</v>
      </c>
      <c r="H46">
        <v>0.71271717268899704</v>
      </c>
      <c r="I46">
        <f t="shared" si="0"/>
        <v>0.54212726539158407</v>
      </c>
      <c r="J46">
        <f t="shared" si="1"/>
        <v>-0.17058990729741297</v>
      </c>
    </row>
    <row r="47" spans="1:10" x14ac:dyDescent="0.3">
      <c r="A47">
        <v>0.31078053142483802</v>
      </c>
      <c r="B47">
        <v>0.33108108108108097</v>
      </c>
      <c r="C47">
        <v>-0.75</v>
      </c>
      <c r="D47">
        <v>-0.25</v>
      </c>
      <c r="E47">
        <v>0.5</v>
      </c>
      <c r="F47">
        <v>1.48</v>
      </c>
      <c r="G47">
        <v>1.0204081632653099</v>
      </c>
      <c r="H47">
        <v>0.58824137960290501</v>
      </c>
      <c r="I47">
        <f t="shared" si="0"/>
        <v>0.57666077174502295</v>
      </c>
      <c r="J47">
        <f t="shared" si="1"/>
        <v>-1.1580607857882064E-2</v>
      </c>
    </row>
    <row r="48" spans="1:10" x14ac:dyDescent="0.3">
      <c r="A48">
        <v>0.31078053142483802</v>
      </c>
      <c r="B48">
        <v>0.33108108108108097</v>
      </c>
      <c r="C48">
        <v>-0.33</v>
      </c>
      <c r="D48">
        <v>-0.08</v>
      </c>
      <c r="E48">
        <v>0.25</v>
      </c>
      <c r="F48">
        <v>1.48</v>
      </c>
      <c r="G48">
        <v>1.0204081632653099</v>
      </c>
      <c r="H48">
        <v>0.83921224573660402</v>
      </c>
      <c r="I48">
        <f t="shared" si="0"/>
        <v>0.4925263533447346</v>
      </c>
      <c r="J48">
        <f t="shared" si="1"/>
        <v>-0.34668589239186942</v>
      </c>
    </row>
    <row r="49" spans="1:11" x14ac:dyDescent="0.3">
      <c r="A49">
        <v>0.31078053142483802</v>
      </c>
      <c r="B49">
        <v>0.33108108108108097</v>
      </c>
      <c r="C49">
        <v>-0.5</v>
      </c>
      <c r="D49">
        <v>-0.25</v>
      </c>
      <c r="E49">
        <v>0.25</v>
      </c>
      <c r="F49">
        <v>1.48</v>
      </c>
      <c r="G49">
        <v>1.0204081632653099</v>
      </c>
      <c r="H49">
        <v>0.530907025986878</v>
      </c>
      <c r="I49">
        <f t="shared" si="0"/>
        <v>0.52929428500861331</v>
      </c>
      <c r="J49">
        <f t="shared" si="1"/>
        <v>-1.6127409782646929E-3</v>
      </c>
    </row>
    <row r="50" spans="1:11" x14ac:dyDescent="0.3">
      <c r="A50">
        <v>0.31078053142483802</v>
      </c>
      <c r="B50">
        <v>0.33108108108108097</v>
      </c>
      <c r="C50">
        <v>-0.75</v>
      </c>
      <c r="D50">
        <v>-0.5</v>
      </c>
      <c r="E50">
        <v>0.25</v>
      </c>
      <c r="F50">
        <v>1.48</v>
      </c>
      <c r="G50">
        <v>1.0204081632653099</v>
      </c>
      <c r="H50">
        <v>0.44051699683130402</v>
      </c>
      <c r="I50">
        <f t="shared" si="0"/>
        <v>0.58393670709681622</v>
      </c>
      <c r="J50">
        <f t="shared" si="1"/>
        <v>0.1434197102655122</v>
      </c>
    </row>
    <row r="51" spans="1:11" x14ac:dyDescent="0.3">
      <c r="A51">
        <v>0.27245455366140803</v>
      </c>
      <c r="B51">
        <v>0.5</v>
      </c>
      <c r="C51">
        <v>-1.27076411960133</v>
      </c>
      <c r="D51">
        <v>-0.60631229235880402</v>
      </c>
      <c r="E51">
        <v>0.66445182724252505</v>
      </c>
      <c r="F51">
        <v>1.99335548172757</v>
      </c>
      <c r="G51">
        <v>0.5</v>
      </c>
      <c r="H51">
        <v>0.24458445376069801</v>
      </c>
      <c r="I51">
        <f t="shared" si="0"/>
        <v>0.36059723187150272</v>
      </c>
      <c r="J51">
        <f t="shared" si="1"/>
        <v>0.11601277811080471</v>
      </c>
    </row>
    <row r="52" spans="1:11" x14ac:dyDescent="0.3">
      <c r="A52">
        <v>0.27245455366140803</v>
      </c>
      <c r="B52">
        <v>0.5</v>
      </c>
      <c r="C52">
        <v>-1.09615384615385</v>
      </c>
      <c r="D52">
        <v>-0.32692307692307698</v>
      </c>
      <c r="E52">
        <v>0.76923076923076905</v>
      </c>
      <c r="F52">
        <v>2.3076923076923102</v>
      </c>
      <c r="G52">
        <v>0.5</v>
      </c>
      <c r="H52">
        <v>0.156289961131994</v>
      </c>
      <c r="I52">
        <f t="shared" si="0"/>
        <v>0.24480328602847123</v>
      </c>
      <c r="J52">
        <f t="shared" si="1"/>
        <v>8.851332489647723E-2</v>
      </c>
    </row>
    <row r="53" spans="1:11" x14ac:dyDescent="0.3">
      <c r="A53">
        <v>0.27245455366140803</v>
      </c>
      <c r="B53">
        <v>0.5</v>
      </c>
      <c r="C53">
        <v>-0.91244239631336399</v>
      </c>
      <c r="D53">
        <v>-0.17511520737327199</v>
      </c>
      <c r="E53">
        <v>0.73732718894009197</v>
      </c>
      <c r="F53">
        <v>2.2119815668202798</v>
      </c>
      <c r="G53">
        <v>0.5</v>
      </c>
      <c r="H53">
        <v>0.30643109661881002</v>
      </c>
      <c r="I53">
        <f t="shared" si="0"/>
        <v>0.21269998464880047</v>
      </c>
      <c r="J53">
        <f t="shared" si="1"/>
        <v>-9.3731111970009551E-2</v>
      </c>
    </row>
    <row r="54" spans="1:11" x14ac:dyDescent="0.3">
      <c r="A54">
        <v>0.26022155053158802</v>
      </c>
      <c r="B54">
        <v>0.52631578947368396</v>
      </c>
      <c r="C54">
        <v>-0.70102572422620002</v>
      </c>
      <c r="D54">
        <v>-0.45860148180195798</v>
      </c>
      <c r="E54">
        <v>0.24242424242424199</v>
      </c>
      <c r="F54">
        <v>0.57575757575757602</v>
      </c>
      <c r="G54">
        <v>0.4</v>
      </c>
      <c r="H54">
        <v>0.74331929249421902</v>
      </c>
      <c r="I54">
        <f t="shared" si="0"/>
        <v>0.69011597730627194</v>
      </c>
      <c r="J54">
        <f t="shared" si="1"/>
        <v>-5.3203315187947076E-2</v>
      </c>
    </row>
    <row r="55" spans="1:11" x14ac:dyDescent="0.3">
      <c r="A55">
        <v>0.26022155053158802</v>
      </c>
      <c r="B55">
        <v>0.52631578947368396</v>
      </c>
      <c r="C55">
        <v>-0.72727272727272696</v>
      </c>
      <c r="D55">
        <v>-0.63706668108809705</v>
      </c>
      <c r="E55">
        <v>9.0206046184630295E-2</v>
      </c>
      <c r="F55">
        <v>0.57575757575757602</v>
      </c>
      <c r="G55">
        <v>0.4</v>
      </c>
      <c r="H55">
        <v>0.93917537022963904</v>
      </c>
      <c r="I55">
        <f t="shared" si="0"/>
        <v>0.81264405435980258</v>
      </c>
      <c r="J55">
        <f t="shared" si="1"/>
        <v>-0.12653131586983646</v>
      </c>
    </row>
    <row r="56" spans="1:11" x14ac:dyDescent="0.3">
      <c r="A56">
        <v>0.35265771076355301</v>
      </c>
      <c r="B56">
        <v>0.25</v>
      </c>
      <c r="C56">
        <v>-0.12</v>
      </c>
      <c r="D56">
        <v>-5.0947867298578198E-2</v>
      </c>
      <c r="E56">
        <v>6.9052132701421798E-2</v>
      </c>
      <c r="F56">
        <v>0.2</v>
      </c>
      <c r="G56">
        <v>0</v>
      </c>
      <c r="H56">
        <v>0.80400782175855701</v>
      </c>
      <c r="I56">
        <f t="shared" si="0"/>
        <v>0.83627786336286025</v>
      </c>
      <c r="J56">
        <f t="shared" si="1"/>
        <v>3.2270041604303246E-2</v>
      </c>
    </row>
    <row r="57" spans="1:11" x14ac:dyDescent="0.3">
      <c r="A57">
        <v>0.24866889861532601</v>
      </c>
      <c r="B57">
        <v>0.32</v>
      </c>
      <c r="C57">
        <v>-1.1519999999999999</v>
      </c>
      <c r="D57">
        <v>-1.01</v>
      </c>
      <c r="E57">
        <v>0.14199999999999999</v>
      </c>
      <c r="F57">
        <v>1.5</v>
      </c>
      <c r="G57">
        <v>1.0625</v>
      </c>
      <c r="H57">
        <v>0.99629288879573896</v>
      </c>
      <c r="I57">
        <f t="shared" si="0"/>
        <v>0.82495946322285985</v>
      </c>
      <c r="J57">
        <f t="shared" si="1"/>
        <v>-0.17133342557287912</v>
      </c>
    </row>
    <row r="58" spans="1:11" x14ac:dyDescent="0.3">
      <c r="A58">
        <v>0.24866889861532601</v>
      </c>
      <c r="B58">
        <v>0.32</v>
      </c>
      <c r="C58">
        <v>-1.02</v>
      </c>
      <c r="D58">
        <v>-0.52</v>
      </c>
      <c r="E58">
        <v>0.5</v>
      </c>
      <c r="F58">
        <v>1.5</v>
      </c>
      <c r="G58">
        <v>1.0625</v>
      </c>
      <c r="H58">
        <v>0.86872349756108402</v>
      </c>
      <c r="I58">
        <f t="shared" si="0"/>
        <v>1.0696345956997115</v>
      </c>
      <c r="J58">
        <f t="shared" si="1"/>
        <v>0.20091109813862751</v>
      </c>
    </row>
    <row r="59" spans="1:11" x14ac:dyDescent="0.3">
      <c r="A59">
        <v>0.24866889861532601</v>
      </c>
      <c r="B59">
        <v>0.32</v>
      </c>
      <c r="C59">
        <v>-0.75</v>
      </c>
      <c r="D59">
        <v>-0.25</v>
      </c>
      <c r="E59">
        <v>0.5</v>
      </c>
      <c r="F59">
        <v>1.5</v>
      </c>
      <c r="G59">
        <v>1.0625</v>
      </c>
      <c r="H59">
        <v>1.1293182525776899</v>
      </c>
      <c r="I59">
        <f t="shared" si="0"/>
        <v>1.0024815633469037</v>
      </c>
      <c r="J59">
        <f t="shared" si="1"/>
        <v>-0.12683668923078617</v>
      </c>
    </row>
    <row r="60" spans="1:11" x14ac:dyDescent="0.3">
      <c r="A60">
        <v>0.24866889861532601</v>
      </c>
      <c r="B60">
        <v>0.32</v>
      </c>
      <c r="C60">
        <v>-0.64</v>
      </c>
      <c r="D60">
        <v>-0.14000000000000001</v>
      </c>
      <c r="E60">
        <v>0.5</v>
      </c>
      <c r="F60">
        <v>1.5</v>
      </c>
      <c r="G60">
        <v>1.0625</v>
      </c>
      <c r="H60">
        <v>1.0369827686039801</v>
      </c>
      <c r="I60">
        <f t="shared" si="0"/>
        <v>0.97542022979410259</v>
      </c>
      <c r="J60">
        <f t="shared" si="1"/>
        <v>-6.1562538809877498E-2</v>
      </c>
    </row>
    <row r="61" spans="1:11" x14ac:dyDescent="0.3">
      <c r="A61">
        <v>0.368816399721904</v>
      </c>
      <c r="B61">
        <v>0.25</v>
      </c>
      <c r="C61">
        <v>-0.28799999999999998</v>
      </c>
      <c r="D61">
        <v>-0.24</v>
      </c>
      <c r="E61">
        <v>4.8000000000000001E-2</v>
      </c>
      <c r="F61">
        <v>0.48</v>
      </c>
      <c r="G61">
        <v>0.86666666666666703</v>
      </c>
      <c r="H61">
        <v>0.96974788403250001</v>
      </c>
      <c r="I61">
        <f t="shared" si="0"/>
        <v>0.91149489990298349</v>
      </c>
      <c r="J61">
        <f t="shared" si="1"/>
        <v>-5.8252984129516516E-2</v>
      </c>
    </row>
    <row r="62" spans="1:11" x14ac:dyDescent="0.3">
      <c r="A62">
        <v>0.6851488</v>
      </c>
      <c r="B62">
        <v>0.6</v>
      </c>
      <c r="C62">
        <v>-0.28799999999999998</v>
      </c>
      <c r="D62">
        <v>-0.24</v>
      </c>
      <c r="E62">
        <v>4.8000000000000001E-2</v>
      </c>
      <c r="F62">
        <v>0.2</v>
      </c>
      <c r="G62">
        <v>0.33333333333333298</v>
      </c>
      <c r="H62">
        <v>0.99645250747252601</v>
      </c>
      <c r="I62">
        <f t="shared" si="0"/>
        <v>0.99116878061034086</v>
      </c>
      <c r="J62">
        <f t="shared" si="1"/>
        <v>-5.2837268621851452E-3</v>
      </c>
    </row>
    <row r="63" spans="1:11" x14ac:dyDescent="0.3">
      <c r="A63" t="s">
        <v>2</v>
      </c>
      <c r="B63" t="s">
        <v>3</v>
      </c>
      <c r="C63" t="s">
        <v>4</v>
      </c>
      <c r="D63" t="s">
        <v>5</v>
      </c>
      <c r="E63" t="s">
        <v>6</v>
      </c>
      <c r="F63" t="s">
        <v>7</v>
      </c>
      <c r="G63" t="s">
        <v>8</v>
      </c>
      <c r="H63" t="s">
        <v>9</v>
      </c>
      <c r="I63" t="e">
        <f t="shared" si="0"/>
        <v>#VALUE!</v>
      </c>
      <c r="J63" t="e">
        <f t="shared" si="1"/>
        <v>#VALUE!</v>
      </c>
    </row>
    <row r="64" spans="1:11" x14ac:dyDescent="0.3">
      <c r="A64">
        <v>0.319090064269206</v>
      </c>
      <c r="B64">
        <v>0.24444444444444399</v>
      </c>
      <c r="C64">
        <v>-0.36166365280289298</v>
      </c>
      <c r="D64">
        <v>-0.27396021699819201</v>
      </c>
      <c r="E64">
        <v>8.7703435804701593E-2</v>
      </c>
      <c r="F64">
        <v>0.61647213545947699</v>
      </c>
      <c r="G64">
        <v>0.68181818181818199</v>
      </c>
      <c r="H64">
        <v>0.77171959560161696</v>
      </c>
      <c r="I64">
        <f t="shared" si="0"/>
        <v>0.79938495916063879</v>
      </c>
      <c r="J64">
        <f t="shared" si="1"/>
        <v>2.7665363559021827E-2</v>
      </c>
      <c r="K64">
        <f>SQRT(SUMSQ(J64:J77)/COUNT(J64:J77))</f>
        <v>0.20776908169016065</v>
      </c>
    </row>
    <row r="65" spans="1:10" x14ac:dyDescent="0.3">
      <c r="A65">
        <v>0.319090064269206</v>
      </c>
      <c r="B65">
        <v>0.24444444444444399</v>
      </c>
      <c r="C65">
        <v>-0.30612772441566199</v>
      </c>
      <c r="D65">
        <v>-8.8446572882370497E-2</v>
      </c>
      <c r="E65">
        <v>0.21768115153329201</v>
      </c>
      <c r="F65">
        <v>0.61222823868738296</v>
      </c>
      <c r="G65">
        <v>0.68181818181818199</v>
      </c>
      <c r="H65">
        <v>0.26962130229509401</v>
      </c>
      <c r="I65">
        <f t="shared" si="0"/>
        <v>0.38104081486855623</v>
      </c>
      <c r="J65">
        <f t="shared" si="1"/>
        <v>0.11141951257346222</v>
      </c>
    </row>
    <row r="66" spans="1:10" x14ac:dyDescent="0.3">
      <c r="A66">
        <v>0.40768003860124302</v>
      </c>
      <c r="B66">
        <v>0.17777777777777801</v>
      </c>
      <c r="C66">
        <v>-0.24285714285714299</v>
      </c>
      <c r="D66">
        <v>-7.14285714285714E-3</v>
      </c>
      <c r="E66">
        <v>0.23571428571428599</v>
      </c>
      <c r="F66">
        <v>0.64285714285714302</v>
      </c>
      <c r="G66">
        <v>0.75</v>
      </c>
      <c r="H66">
        <v>8.6952111201974401E-3</v>
      </c>
      <c r="I66">
        <f t="shared" si="0"/>
        <v>0.18828554322528657</v>
      </c>
      <c r="J66">
        <f t="shared" si="1"/>
        <v>0.17959033210508912</v>
      </c>
    </row>
    <row r="67" spans="1:10" x14ac:dyDescent="0.3">
      <c r="A67">
        <v>0.40768003860124302</v>
      </c>
      <c r="B67">
        <v>0.17777777777777801</v>
      </c>
      <c r="C67">
        <v>-0.27234042553191501</v>
      </c>
      <c r="D67">
        <v>-0.11347517730496499</v>
      </c>
      <c r="E67">
        <v>0.15886524822695</v>
      </c>
      <c r="F67">
        <v>0.63829787234042601</v>
      </c>
      <c r="G67">
        <v>0.75</v>
      </c>
      <c r="H67">
        <v>0.39204436722739799</v>
      </c>
      <c r="I67">
        <f t="shared" si="0"/>
        <v>0.30230745404449522</v>
      </c>
      <c r="J67">
        <f t="shared" si="1"/>
        <v>-8.9736913182902778E-2</v>
      </c>
    </row>
    <row r="68" spans="1:10" x14ac:dyDescent="0.3">
      <c r="A68">
        <v>0.31078053142483802</v>
      </c>
      <c r="B68">
        <v>0.33108108108108097</v>
      </c>
      <c r="C68">
        <v>-0.68</v>
      </c>
      <c r="D68">
        <v>-0.18</v>
      </c>
      <c r="E68">
        <v>0.5</v>
      </c>
      <c r="F68">
        <v>1.48</v>
      </c>
      <c r="G68">
        <v>1.03061224489796</v>
      </c>
      <c r="H68">
        <v>0.62709579986470299</v>
      </c>
      <c r="I68">
        <f t="shared" si="0"/>
        <v>0.5606461450183442</v>
      </c>
      <c r="J68">
        <f t="shared" si="1"/>
        <v>-6.6449654846358785E-2</v>
      </c>
    </row>
    <row r="69" spans="1:10" x14ac:dyDescent="0.3">
      <c r="A69">
        <v>0.31078053142483802</v>
      </c>
      <c r="B69">
        <v>0.33108108108108097</v>
      </c>
      <c r="C69">
        <v>-0.17</v>
      </c>
      <c r="D69">
        <v>-0.16</v>
      </c>
      <c r="E69">
        <v>0.01</v>
      </c>
      <c r="F69">
        <v>1.48</v>
      </c>
      <c r="G69">
        <v>1.03061224489796</v>
      </c>
      <c r="H69">
        <v>0.225472906946003</v>
      </c>
      <c r="I69">
        <f t="shared" ref="I69:I77" si="2">case5_(A69,B69,C69,D69,E69,F69,G69)</f>
        <v>0.71479674060844811</v>
      </c>
      <c r="J69">
        <f t="shared" ref="J69:J77" si="3">I69-H69</f>
        <v>0.48932383366244514</v>
      </c>
    </row>
    <row r="70" spans="1:10" x14ac:dyDescent="0.3">
      <c r="A70">
        <v>0.27511404478700902</v>
      </c>
      <c r="B70">
        <v>0.37853107344632803</v>
      </c>
      <c r="C70">
        <v>-0.67</v>
      </c>
      <c r="D70">
        <v>-0.27500000000000002</v>
      </c>
      <c r="E70">
        <v>0.39500000000000002</v>
      </c>
      <c r="F70">
        <v>0.73750000000000004</v>
      </c>
      <c r="G70">
        <v>1.4029850746268699</v>
      </c>
      <c r="H70">
        <v>0.42038442977826002</v>
      </c>
      <c r="I70">
        <f t="shared" si="2"/>
        <v>0.392876915509345</v>
      </c>
      <c r="J70">
        <f t="shared" si="3"/>
        <v>-2.7507514268915012E-2</v>
      </c>
    </row>
    <row r="71" spans="1:10" x14ac:dyDescent="0.3">
      <c r="A71">
        <v>0.116617219019459</v>
      </c>
      <c r="B71">
        <v>0.38961038961039002</v>
      </c>
      <c r="C71">
        <v>-0.3</v>
      </c>
      <c r="D71">
        <v>-0.29166666666666702</v>
      </c>
      <c r="E71">
        <v>8.3333333333333402E-3</v>
      </c>
      <c r="F71">
        <v>0.32083333333333303</v>
      </c>
      <c r="G71">
        <v>0.86666666666666703</v>
      </c>
      <c r="H71">
        <v>0.81933379659541905</v>
      </c>
      <c r="I71">
        <f t="shared" si="2"/>
        <v>0.41863579840049869</v>
      </c>
      <c r="J71">
        <f t="shared" si="3"/>
        <v>-0.40069799819492036</v>
      </c>
    </row>
    <row r="72" spans="1:10" x14ac:dyDescent="0.3">
      <c r="A72">
        <v>0.44939146609105401</v>
      </c>
      <c r="B72">
        <v>0.48780487804877998</v>
      </c>
      <c r="C72">
        <v>-0.51666666666666705</v>
      </c>
      <c r="D72">
        <v>-0.20833333333333301</v>
      </c>
      <c r="E72">
        <v>0.30833333333333302</v>
      </c>
      <c r="F72">
        <v>0.51249999999999996</v>
      </c>
      <c r="G72">
        <v>1.8333333333333299</v>
      </c>
      <c r="H72">
        <v>0.58907363354365005</v>
      </c>
      <c r="I72">
        <f t="shared" si="2"/>
        <v>0.63537450722246547</v>
      </c>
      <c r="J72">
        <f t="shared" si="3"/>
        <v>4.6300873678815413E-2</v>
      </c>
    </row>
    <row r="73" spans="1:10" x14ac:dyDescent="0.3">
      <c r="A73">
        <v>0.44558618529625499</v>
      </c>
      <c r="B73">
        <v>0.7</v>
      </c>
      <c r="C73">
        <v>-1.68</v>
      </c>
      <c r="D73">
        <v>-1.5</v>
      </c>
      <c r="E73">
        <v>0.18</v>
      </c>
      <c r="F73">
        <v>1</v>
      </c>
      <c r="G73">
        <v>0.214285714285714</v>
      </c>
      <c r="H73">
        <v>1.00139948701725</v>
      </c>
      <c r="I73">
        <f t="shared" si="2"/>
        <v>1.1068622466112528</v>
      </c>
      <c r="J73">
        <f t="shared" si="3"/>
        <v>0.10546275959400275</v>
      </c>
    </row>
    <row r="74" spans="1:10" x14ac:dyDescent="0.3">
      <c r="A74">
        <v>0.51712291666666699</v>
      </c>
      <c r="B74">
        <v>0.74166666666666703</v>
      </c>
      <c r="C74">
        <v>-0.655555555555556</v>
      </c>
      <c r="D74">
        <v>-0.33333333333333298</v>
      </c>
      <c r="E74">
        <v>0.32222222222222202</v>
      </c>
      <c r="F74">
        <v>0.66666666666666696</v>
      </c>
      <c r="G74">
        <v>0.16853932584269599</v>
      </c>
      <c r="H74">
        <v>0.88884461767987999</v>
      </c>
      <c r="I74">
        <f t="shared" si="2"/>
        <v>0.82124998035676455</v>
      </c>
      <c r="J74">
        <f t="shared" si="3"/>
        <v>-6.7594637323115436E-2</v>
      </c>
    </row>
    <row r="75" spans="1:10" x14ac:dyDescent="0.3">
      <c r="A75">
        <v>0.31078053142483802</v>
      </c>
      <c r="B75">
        <v>0.33108108108108097</v>
      </c>
      <c r="C75">
        <v>-0.37</v>
      </c>
      <c r="D75">
        <v>-0.12</v>
      </c>
      <c r="E75">
        <v>0.25</v>
      </c>
      <c r="F75">
        <v>1.48</v>
      </c>
      <c r="G75">
        <v>1.0204081632653099</v>
      </c>
      <c r="H75">
        <v>0.74382182978262201</v>
      </c>
      <c r="I75">
        <f t="shared" si="2"/>
        <v>0.5011494567485677</v>
      </c>
      <c r="J75">
        <f t="shared" si="3"/>
        <v>-0.24267237303405431</v>
      </c>
    </row>
    <row r="76" spans="1:10" x14ac:dyDescent="0.3">
      <c r="A76">
        <v>0.26022155053158802</v>
      </c>
      <c r="B76">
        <v>0.52631578947368396</v>
      </c>
      <c r="C76">
        <v>-0.36753014980260701</v>
      </c>
      <c r="D76">
        <v>-0.125105907378364</v>
      </c>
      <c r="E76">
        <v>0.24242424242424199</v>
      </c>
      <c r="F76">
        <v>0.57575757575757602</v>
      </c>
      <c r="G76">
        <v>0.4</v>
      </c>
      <c r="H76">
        <v>0.87737451123629895</v>
      </c>
      <c r="I76">
        <f t="shared" si="2"/>
        <v>0.61480114149382192</v>
      </c>
      <c r="J76">
        <f t="shared" si="3"/>
        <v>-0.26257336974247703</v>
      </c>
    </row>
    <row r="77" spans="1:10" x14ac:dyDescent="0.3">
      <c r="A77">
        <v>0.26022155053158802</v>
      </c>
      <c r="B77">
        <v>0.52631578947368396</v>
      </c>
      <c r="C77">
        <v>-0.488309628107367</v>
      </c>
      <c r="D77">
        <v>-0.24588538568312501</v>
      </c>
      <c r="E77">
        <v>0.24242424242424199</v>
      </c>
      <c r="F77">
        <v>0.57575757575757602</v>
      </c>
      <c r="G77">
        <v>0.4</v>
      </c>
      <c r="H77">
        <v>0.63663554858831295</v>
      </c>
      <c r="I77">
        <f t="shared" si="2"/>
        <v>0.64192918474075977</v>
      </c>
      <c r="J77">
        <f t="shared" si="3"/>
        <v>5.2936361524468234E-3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case2</vt:lpstr>
      <vt:lpstr>case3</vt:lpstr>
      <vt:lpstr>case4</vt:lpstr>
      <vt:lpstr>case5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Emergency</dc:creator>
  <cp:lastModifiedBy>Computer Emergency</cp:lastModifiedBy>
  <dcterms:created xsi:type="dcterms:W3CDTF">2018-12-01T12:59:43Z</dcterms:created>
  <dcterms:modified xsi:type="dcterms:W3CDTF">2018-12-02T15:50:53Z</dcterms:modified>
</cp:coreProperties>
</file>